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hans\Downloads\Novembar\"/>
    </mc:Choice>
  </mc:AlternateContent>
  <xr:revisionPtr revIDLastSave="0" documentId="13_ncr:1_{4754115A-FA37-4DE8-B18F-7FD040E4C874}" xr6:coauthVersionLast="47" xr6:coauthVersionMax="47" xr10:uidLastSave="{00000000-0000-0000-0000-000000000000}"/>
  <bookViews>
    <workbookView xWindow="528" yWindow="792" windowWidth="21600" windowHeight="11100" activeTab="7" xr2:uid="{00000000-000D-0000-FFFF-FFFF00000000}"/>
  </bookViews>
  <sheets>
    <sheet name="Q1" sheetId="5" r:id="rId1"/>
    <sheet name="Q2" sheetId="6" r:id="rId2"/>
    <sheet name="Q3" sheetId="8" r:id="rId3"/>
    <sheet name="Sheet3" sheetId="11" r:id="rId4"/>
    <sheet name="Sales_Data" sheetId="1" r:id="rId5"/>
    <sheet name="Product_List" sheetId="2" r:id="rId6"/>
    <sheet name="Region_Targets" sheetId="3" r:id="rId7"/>
    <sheet name="Dashborad" sheetId="9" r:id="rId8"/>
  </sheets>
  <definedNames>
    <definedName name="_xlnm._FilterDatabase" localSheetId="6" hidden="1">Region_Targets!$A$1:$C$25</definedName>
    <definedName name="_xlnm._FilterDatabase" localSheetId="4" hidden="1">Sales_Data!$A$1:$J$151</definedName>
    <definedName name="Slicer_Months__Date">#N/A</definedName>
    <definedName name="Slicer_Product_Name">#N/A</definedName>
    <definedName name="Slicer_Region">#N/A</definedName>
  </definedNames>
  <calcPr calcId="191029"/>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l="1"/>
  <c r="F8" i="2"/>
  <c r="G3" i="2"/>
  <c r="G4" i="2"/>
  <c r="G5" i="2"/>
  <c r="G6" i="2"/>
  <c r="G7" i="2"/>
  <c r="G2" i="2"/>
  <c r="G8" i="2" s="1"/>
  <c r="I6" i="3"/>
  <c r="I5" i="3"/>
  <c r="C26" i="3"/>
  <c r="D26" i="3"/>
  <c r="E25" i="3"/>
  <c r="E2" i="3"/>
  <c r="E3" i="3"/>
  <c r="E4" i="3"/>
  <c r="E5" i="3"/>
  <c r="E6" i="3"/>
  <c r="E7" i="3"/>
  <c r="E8" i="3"/>
  <c r="E9" i="3"/>
  <c r="E10" i="3"/>
  <c r="E11" i="3"/>
  <c r="E12" i="3"/>
  <c r="E13" i="3"/>
  <c r="E14" i="3"/>
  <c r="E15" i="3"/>
  <c r="E16" i="3"/>
  <c r="E17" i="3"/>
  <c r="E18" i="3"/>
  <c r="E19" i="3"/>
  <c r="E20" i="3"/>
  <c r="E21" i="3"/>
  <c r="E22" i="3"/>
  <c r="E23" i="3"/>
  <c r="E24" i="3"/>
</calcChain>
</file>

<file path=xl/sharedStrings.xml><?xml version="1.0" encoding="utf-8"?>
<sst xmlns="http://schemas.openxmlformats.org/spreadsheetml/2006/main" count="1036" uniqueCount="204">
  <si>
    <t>Date</t>
  </si>
  <si>
    <t>Invoice_ID</t>
  </si>
  <si>
    <t>Product_ID</t>
  </si>
  <si>
    <t>Product_Name</t>
  </si>
  <si>
    <t>Category</t>
  </si>
  <si>
    <t>Region</t>
  </si>
  <si>
    <t>Salesperson</t>
  </si>
  <si>
    <t>Quantity</t>
  </si>
  <si>
    <t>Unit_Price</t>
  </si>
  <si>
    <t>Total_Sales</t>
  </si>
  <si>
    <t>INV6734</t>
  </si>
  <si>
    <t>P202</t>
  </si>
  <si>
    <t>Table</t>
  </si>
  <si>
    <t>Furniture</t>
  </si>
  <si>
    <t>North</t>
  </si>
  <si>
    <t>C. Patel</t>
  </si>
  <si>
    <t>INV9322</t>
  </si>
  <si>
    <t>P201</t>
  </si>
  <si>
    <t>Office Chair</t>
  </si>
  <si>
    <t>East</t>
  </si>
  <si>
    <t>INV6311</t>
  </si>
  <si>
    <t>P301</t>
  </si>
  <si>
    <t>T-Shirt</t>
  </si>
  <si>
    <t>Apparel</t>
  </si>
  <si>
    <t>South</t>
  </si>
  <si>
    <t>D. Mehta</t>
  </si>
  <si>
    <t>INV9666</t>
  </si>
  <si>
    <t>P101</t>
  </si>
  <si>
    <t>Laptop</t>
  </si>
  <si>
    <t>Electronics</t>
  </si>
  <si>
    <t>West</t>
  </si>
  <si>
    <t>B. Singh</t>
  </si>
  <si>
    <t>INV1189</t>
  </si>
  <si>
    <t>P102</t>
  </si>
  <si>
    <t>Mobile</t>
  </si>
  <si>
    <t>INV2528</t>
  </si>
  <si>
    <t>P302</t>
  </si>
  <si>
    <t>Jeans</t>
  </si>
  <si>
    <t>INV6393</t>
  </si>
  <si>
    <t>E. Khan</t>
  </si>
  <si>
    <t>INV8513</t>
  </si>
  <si>
    <t>INV1775</t>
  </si>
  <si>
    <t>INV2585</t>
  </si>
  <si>
    <t>A. Sharma</t>
  </si>
  <si>
    <t>INV8989</t>
  </si>
  <si>
    <t>INV1995</t>
  </si>
  <si>
    <t>INV8869</t>
  </si>
  <si>
    <t>INV1878</t>
  </si>
  <si>
    <t>INV9571</t>
  </si>
  <si>
    <t>INV9006</t>
  </si>
  <si>
    <t>INV7736</t>
  </si>
  <si>
    <t>INV6892</t>
  </si>
  <si>
    <t>INV4104</t>
  </si>
  <si>
    <t>INV3731</t>
  </si>
  <si>
    <t>INV9110</t>
  </si>
  <si>
    <t>INV5488</t>
  </si>
  <si>
    <t>INV8858</t>
  </si>
  <si>
    <t>INV2757</t>
  </si>
  <si>
    <t>INV2059</t>
  </si>
  <si>
    <t>INV3693</t>
  </si>
  <si>
    <t>INV6450</t>
  </si>
  <si>
    <t>INV8392</t>
  </si>
  <si>
    <t>INV6864</t>
  </si>
  <si>
    <t>INV5413</t>
  </si>
  <si>
    <t>INV1663</t>
  </si>
  <si>
    <t>INV6232</t>
  </si>
  <si>
    <t>INV4581</t>
  </si>
  <si>
    <t>INV4696</t>
  </si>
  <si>
    <t>INV1854</t>
  </si>
  <si>
    <t>INV2707</t>
  </si>
  <si>
    <t>INV5218</t>
  </si>
  <si>
    <t>INV8777</t>
  </si>
  <si>
    <t>INV3511</t>
  </si>
  <si>
    <t>INV7546</t>
  </si>
  <si>
    <t>INV3911</t>
  </si>
  <si>
    <t>INV2802</t>
  </si>
  <si>
    <t>INV7287</t>
  </si>
  <si>
    <t>INV3049</t>
  </si>
  <si>
    <t>INV8158</t>
  </si>
  <si>
    <t>INV5499</t>
  </si>
  <si>
    <t>INV2648</t>
  </si>
  <si>
    <t>INV3557</t>
  </si>
  <si>
    <t>INV3869</t>
  </si>
  <si>
    <t>INV6699</t>
  </si>
  <si>
    <t>INV5496</t>
  </si>
  <si>
    <t>INV9050</t>
  </si>
  <si>
    <t>INV6895</t>
  </si>
  <si>
    <t>INV8022</t>
  </si>
  <si>
    <t>INV8679</t>
  </si>
  <si>
    <t>INV2060</t>
  </si>
  <si>
    <t>INV1699</t>
  </si>
  <si>
    <t>INV9319</t>
  </si>
  <si>
    <t>INV2895</t>
  </si>
  <si>
    <t>INV2409</t>
  </si>
  <si>
    <t>INV6801</t>
  </si>
  <si>
    <t>INV7971</t>
  </si>
  <si>
    <t>INV3368</t>
  </si>
  <si>
    <t>INV7614</t>
  </si>
  <si>
    <t>INV4769</t>
  </si>
  <si>
    <t>INV8509</t>
  </si>
  <si>
    <t>INV4124</t>
  </si>
  <si>
    <t>INV5869</t>
  </si>
  <si>
    <t>INV7799</t>
  </si>
  <si>
    <t>INV5752</t>
  </si>
  <si>
    <t>INV9932</t>
  </si>
  <si>
    <t>INV2664</t>
  </si>
  <si>
    <t>INV8404</t>
  </si>
  <si>
    <t>INV8004</t>
  </si>
  <si>
    <t>INV8253</t>
  </si>
  <si>
    <t>INV3141</t>
  </si>
  <si>
    <t>INV8421</t>
  </si>
  <si>
    <t>INV3849</t>
  </si>
  <si>
    <t>INV5611</t>
  </si>
  <si>
    <t>INV1851</t>
  </si>
  <si>
    <t>INV5000</t>
  </si>
  <si>
    <t>INV6536</t>
  </si>
  <si>
    <t>INV5107</t>
  </si>
  <si>
    <t>INV9945</t>
  </si>
  <si>
    <t>INV1417</t>
  </si>
  <si>
    <t>INV8668</t>
  </si>
  <si>
    <t>INV1728</t>
  </si>
  <si>
    <t>INV6988</t>
  </si>
  <si>
    <t>INV6073</t>
  </si>
  <si>
    <t>INV4440</t>
  </si>
  <si>
    <t>INV9787</t>
  </si>
  <si>
    <t>INV8186</t>
  </si>
  <si>
    <t>INV9082</t>
  </si>
  <si>
    <t>INV5946</t>
  </si>
  <si>
    <t>INV8192</t>
  </si>
  <si>
    <t>INV2167</t>
  </si>
  <si>
    <t>INV7541</t>
  </si>
  <si>
    <t>INV9010</t>
  </si>
  <si>
    <t>INV3539</t>
  </si>
  <si>
    <t>INV7938</t>
  </si>
  <si>
    <t>INV6541</t>
  </si>
  <si>
    <t>INV9702</t>
  </si>
  <si>
    <t>INV4141</t>
  </si>
  <si>
    <t>INV9905</t>
  </si>
  <si>
    <t>INV5748</t>
  </si>
  <si>
    <t>INV4072</t>
  </si>
  <si>
    <t>INV8576</t>
  </si>
  <si>
    <t>INV4627</t>
  </si>
  <si>
    <t>INV6348</t>
  </si>
  <si>
    <t>INV7190</t>
  </si>
  <si>
    <t>INV9053</t>
  </si>
  <si>
    <t>INV6063</t>
  </si>
  <si>
    <t>INV7819</t>
  </si>
  <si>
    <t>INV5964</t>
  </si>
  <si>
    <t>INV6320</t>
  </si>
  <si>
    <t>INV1924</t>
  </si>
  <si>
    <t>INV8026</t>
  </si>
  <si>
    <t>INV8418</t>
  </si>
  <si>
    <t>INV3193</t>
  </si>
  <si>
    <t>INV4925</t>
  </si>
  <si>
    <t>INV2633</t>
  </si>
  <si>
    <t>INV9175</t>
  </si>
  <si>
    <t>INV6989</t>
  </si>
  <si>
    <t>INV5809</t>
  </si>
  <si>
    <t>INV5780</t>
  </si>
  <si>
    <t>INV4419</t>
  </si>
  <si>
    <t>INV5363</t>
  </si>
  <si>
    <t>INV7544</t>
  </si>
  <si>
    <t>INV5530</t>
  </si>
  <si>
    <t>INV7949</t>
  </si>
  <si>
    <t>INV2331</t>
  </si>
  <si>
    <t>INV8730</t>
  </si>
  <si>
    <t>INV7327</t>
  </si>
  <si>
    <t>INV5164</t>
  </si>
  <si>
    <t>INV7269</t>
  </si>
  <si>
    <t>INV7031</t>
  </si>
  <si>
    <t>INV2887</t>
  </si>
  <si>
    <t>INV7777</t>
  </si>
  <si>
    <t>INV5777</t>
  </si>
  <si>
    <t>INV7376</t>
  </si>
  <si>
    <t>INV8240</t>
  </si>
  <si>
    <t>INV3878</t>
  </si>
  <si>
    <t>INV2276</t>
  </si>
  <si>
    <t>INV9150</t>
  </si>
  <si>
    <t>INV6126</t>
  </si>
  <si>
    <t>INV4345</t>
  </si>
  <si>
    <t>INV5632</t>
  </si>
  <si>
    <t>INV8561</t>
  </si>
  <si>
    <t>INV5206</t>
  </si>
  <si>
    <t>Cost_Price</t>
  </si>
  <si>
    <t>Selling_Price</t>
  </si>
  <si>
    <t>Month</t>
  </si>
  <si>
    <t>Sales_Target</t>
  </si>
  <si>
    <t>Jan</t>
  </si>
  <si>
    <t>Feb</t>
  </si>
  <si>
    <t>Mar</t>
  </si>
  <si>
    <t>Apr</t>
  </si>
  <si>
    <t>May</t>
  </si>
  <si>
    <t>Jun</t>
  </si>
  <si>
    <t>Row Labels</t>
  </si>
  <si>
    <t>Grand Total</t>
  </si>
  <si>
    <t>Sum of Total_Sales</t>
  </si>
  <si>
    <t>Total</t>
  </si>
  <si>
    <t>Actual sales</t>
  </si>
  <si>
    <t>Prcenteg</t>
  </si>
  <si>
    <t>Pass</t>
  </si>
  <si>
    <t>Fail</t>
  </si>
  <si>
    <t>Profit</t>
  </si>
  <si>
    <t>Sum of Quantity</t>
  </si>
  <si>
    <t>Sales Data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</si>
</sst>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name val="Calibri"/>
    </font>
    <font>
      <sz val="11"/>
      <color theme="1"/>
      <name val="Calibri"/>
      <family val="2"/>
      <scheme val="minor"/>
    </font>
    <font>
      <b/>
      <sz val="11"/>
      <name val="Calibri"/>
      <family val="2"/>
    </font>
    <font>
      <sz val="28"/>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0"/>
        <bgColor indexed="64"/>
      </patternFill>
    </fill>
    <fill>
      <patternFill patternType="solid">
        <fgColor theme="7" tint="-0.249977111117893"/>
        <bgColor indexed="64"/>
      </patternFill>
    </fill>
    <fill>
      <patternFill patternType="solid">
        <fgColor theme="8"/>
        <bgColor indexed="64"/>
      </patternFill>
    </fill>
    <fill>
      <patternFill patternType="solid">
        <fgColor theme="8" tint="0.59999389629810485"/>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rgb="FF999999"/>
      </left>
      <right/>
      <top style="thin">
        <color indexed="65"/>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auto="1"/>
      </left>
      <right/>
      <top style="thin">
        <color indexed="64"/>
      </top>
      <bottom style="thin">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3" borderId="0" xfId="0" applyFill="1"/>
    <xf numFmtId="0" fontId="0" fillId="4" borderId="2" xfId="0" applyFill="1" applyBorder="1"/>
    <xf numFmtId="0" fontId="0" fillId="4" borderId="10" xfId="0" applyFill="1" applyBorder="1"/>
    <xf numFmtId="0" fontId="3" fillId="2" borderId="5" xfId="0" applyFont="1" applyFill="1" applyBorder="1" applyAlignment="1">
      <alignment horizontal="center" vertical="top"/>
    </xf>
    <xf numFmtId="0" fontId="3" fillId="2" borderId="4" xfId="0" applyFont="1" applyFill="1" applyBorder="1" applyAlignment="1">
      <alignment horizontal="center" vertical="top"/>
    </xf>
    <xf numFmtId="0" fontId="3" fillId="2" borderId="6" xfId="0" applyFont="1" applyFill="1" applyBorder="1" applyAlignment="1">
      <alignment horizontal="center" vertical="top"/>
    </xf>
    <xf numFmtId="0" fontId="0" fillId="2" borderId="7" xfId="0" applyFill="1" applyBorder="1"/>
    <xf numFmtId="0" fontId="0" fillId="2" borderId="8" xfId="0" applyFill="1" applyBorder="1"/>
    <xf numFmtId="9" fontId="0" fillId="2" borderId="9" xfId="1" applyFont="1" applyFill="1" applyBorder="1"/>
    <xf numFmtId="0" fontId="0" fillId="2" borderId="1" xfId="0" applyFill="1" applyBorder="1"/>
    <xf numFmtId="0" fontId="0" fillId="4" borderId="1" xfId="0" applyFill="1" applyBorder="1"/>
    <xf numFmtId="0" fontId="0" fillId="0" borderId="9" xfId="0" applyBorder="1"/>
    <xf numFmtId="0" fontId="0" fillId="0" borderId="7" xfId="0" applyBorder="1"/>
    <xf numFmtId="0" fontId="0" fillId="0" borderId="15" xfId="0" applyBorder="1"/>
    <xf numFmtId="0" fontId="0" fillId="0" borderId="14" xfId="0" applyBorder="1"/>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0" fillId="0" borderId="8" xfId="0" applyBorder="1"/>
    <xf numFmtId="9" fontId="0" fillId="0" borderId="14" xfId="1" applyFont="1" applyBorder="1"/>
    <xf numFmtId="0" fontId="3" fillId="4" borderId="0" xfId="0" applyFont="1" applyFill="1" applyAlignment="1">
      <alignment horizontal="center"/>
    </xf>
    <xf numFmtId="0" fontId="0" fillId="4" borderId="0" xfId="0" applyFill="1"/>
    <xf numFmtId="0" fontId="0" fillId="4" borderId="2" xfId="0" applyFill="1" applyBorder="1" applyAlignment="1">
      <alignment horizontal="left"/>
    </xf>
    <xf numFmtId="0" fontId="0" fillId="4" borderId="12" xfId="0" applyFill="1" applyBorder="1" applyAlignment="1">
      <alignment horizontal="left"/>
    </xf>
    <xf numFmtId="0" fontId="0" fillId="4" borderId="3" xfId="0" applyFill="1" applyBorder="1" applyAlignment="1">
      <alignment horizontal="left"/>
    </xf>
    <xf numFmtId="0" fontId="0" fillId="5" borderId="0" xfId="0" applyFill="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0" xfId="0" applyFill="1"/>
    <xf numFmtId="0" fontId="0" fillId="7" borderId="20" xfId="0" applyFill="1" applyBorder="1"/>
    <xf numFmtId="0" fontId="0" fillId="7" borderId="21" xfId="0" applyFill="1" applyBorder="1"/>
    <xf numFmtId="0" fontId="0" fillId="7" borderId="22" xfId="0" applyFill="1" applyBorder="1"/>
    <xf numFmtId="0" fontId="0" fillId="7" borderId="23" xfId="0" applyFill="1" applyBorder="1"/>
    <xf numFmtId="0" fontId="0" fillId="4" borderId="11" xfId="0" applyFill="1" applyBorder="1"/>
    <xf numFmtId="0" fontId="0" fillId="4" borderId="13" xfId="0" applyFill="1" applyBorder="1"/>
    <xf numFmtId="0" fontId="4" fillId="6" borderId="16" xfId="0" applyFont="1" applyFill="1" applyBorder="1" applyAlignment="1">
      <alignment horizontal="center" vertical="center"/>
    </xf>
    <xf numFmtId="0" fontId="4" fillId="6" borderId="17" xfId="0" applyFont="1" applyFill="1" applyBorder="1" applyAlignment="1">
      <alignment horizontal="center" vertical="center"/>
    </xf>
    <xf numFmtId="0" fontId="4" fillId="6" borderId="18" xfId="0" applyFont="1" applyFill="1" applyBorder="1" applyAlignment="1">
      <alignment horizontal="center" vertical="center"/>
    </xf>
    <xf numFmtId="0" fontId="4" fillId="6" borderId="21" xfId="0" applyFont="1" applyFill="1" applyBorder="1" applyAlignment="1">
      <alignment horizontal="center" vertical="center"/>
    </xf>
    <xf numFmtId="0" fontId="4" fillId="6" borderId="22" xfId="0" applyFont="1" applyFill="1" applyBorder="1" applyAlignment="1">
      <alignment horizontal="center" vertical="center"/>
    </xf>
    <xf numFmtId="0" fontId="4" fillId="6" borderId="23" xfId="0" applyFont="1" applyFill="1" applyBorder="1" applyAlignment="1">
      <alignment horizontal="center" vertical="center"/>
    </xf>
  </cellXfs>
  <cellStyles count="2">
    <cellStyle name="Normal" xfId="0" builtinId="0"/>
    <cellStyle name="Percent" xfId="1" builtinId="5"/>
  </cellStyles>
  <dxfs count="42">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auto="1"/>
        </left>
        <right/>
        <top style="thin">
          <color auto="1"/>
        </top>
        <bottom/>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style="thin">
          <color auto="1"/>
        </left>
        <right style="thin">
          <color auto="1"/>
        </right>
        <top style="thin">
          <color auto="1"/>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style="thin">
          <color auto="1"/>
        </left>
        <right style="thin">
          <color auto="1"/>
        </right>
        <top style="thin">
          <color auto="1"/>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style="thin">
          <color auto="1"/>
        </left>
        <right style="thin">
          <color auto="1"/>
        </right>
        <top style="thin">
          <color auto="1"/>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FF00"/>
        </patternFill>
      </fill>
      <border diagonalUp="0" diagonalDown="0" outline="0">
        <left/>
        <right style="thin">
          <color auto="1"/>
        </right>
        <top style="thin">
          <color auto="1"/>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fill>
        <patternFill patternType="solid">
          <fgColor indexed="64"/>
          <bgColor rgb="FFFFFF00"/>
        </patternFill>
      </fill>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rgb="FFFFFF00"/>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outline="0">
        <left style="thin">
          <color auto="1"/>
        </left>
        <right/>
        <top style="thin">
          <color auto="1"/>
        </top>
        <bottom/>
      </border>
    </dxf>
    <dxf>
      <border diagonalUp="0" diagonalDown="0">
        <left style="thin">
          <color auto="1"/>
        </left>
        <right/>
        <top style="thin">
          <color indexed="64"/>
        </top>
        <bottom style="thin">
          <color auto="1"/>
        </bottom>
        <vertical/>
        <horizontal/>
      </border>
    </dxf>
    <dxf>
      <border diagonalUp="0" diagonalDown="0" outline="0">
        <left style="thin">
          <color auto="1"/>
        </left>
        <right style="thin">
          <color auto="1"/>
        </right>
        <top style="thin">
          <color auto="1"/>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indexed="64"/>
        </top>
        <bottom style="thin">
          <color auto="1"/>
        </bottom>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FFFF00"/>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[Retail_Sales_Project.xlsx]Q1!PivotTable1</c:name>
    <c:fmtId val="1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a:ln w="0"/>
                <a:solidFill>
                  <a:schemeClr val="lt1"/>
                </a:solidFill>
                <a:effectLst>
                  <a:outerShdw blurRad="38100" dist="19050" dir="2700000" algn="tl" rotWithShape="0">
                    <a:schemeClr val="dk1">
                      <a:alpha val="40000"/>
                    </a:schemeClr>
                  </a:outerShdw>
                </a:effectLst>
                <a:latin typeface="+mn-lt"/>
                <a:ea typeface="+mn-ea"/>
                <a:cs typeface="+mn-cs"/>
              </a:rPr>
              <a:t>Total Sales</a:t>
            </a:r>
            <a:r>
              <a:rPr lang="en-US" b="0" cap="none" spc="0" baseline="0">
                <a:ln w="0"/>
                <a:solidFill>
                  <a:schemeClr val="lt1"/>
                </a:solidFill>
                <a:effectLst>
                  <a:outerShdw blurRad="38100" dist="19050" dir="2700000" algn="tl" rotWithShape="0">
                    <a:schemeClr val="dk1">
                      <a:alpha val="40000"/>
                    </a:schemeClr>
                  </a:outerShdw>
                </a:effectLst>
                <a:latin typeface="+mn-lt"/>
                <a:ea typeface="+mn-ea"/>
                <a:cs typeface="+mn-cs"/>
              </a:rPr>
              <a:t> by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'Q1'!$B$1</c:f>
              <c:strCache>
                <c:ptCount val="1"/>
                <c:pt idx="0">
                  <c:v>Total</c:v>
                </c:pt>
              </c:strCache>
            </c:strRef>
          </c:tx>
          <c:spPr>
            <a:solidFill>
              <a:schemeClr val="accent1"/>
            </a:solidFill>
            <a:ln>
              <a:noFill/>
            </a:ln>
            <a:effectLst/>
            <a:sp3d/>
          </c:spPr>
          <c:invertIfNegative val="0"/>
          <c:cat>
            <c:strRef>
              <c:f>'Q1'!$A$2:$A$6</c:f>
              <c:strCache>
                <c:ptCount val="4"/>
                <c:pt idx="0">
                  <c:v>East</c:v>
                </c:pt>
                <c:pt idx="1">
                  <c:v>North</c:v>
                </c:pt>
                <c:pt idx="2">
                  <c:v>South</c:v>
                </c:pt>
                <c:pt idx="3">
                  <c:v>West</c:v>
                </c:pt>
              </c:strCache>
            </c:strRef>
          </c:cat>
          <c:val>
            <c:numRef>
              <c:f>'Q1'!$B$2:$B$6</c:f>
              <c:numCache>
                <c:formatCode>General</c:formatCode>
                <c:ptCount val="4"/>
                <c:pt idx="0">
                  <c:v>1375100</c:v>
                </c:pt>
                <c:pt idx="1">
                  <c:v>1678600</c:v>
                </c:pt>
                <c:pt idx="2">
                  <c:v>1228400</c:v>
                </c:pt>
                <c:pt idx="3">
                  <c:v>1961300</c:v>
                </c:pt>
              </c:numCache>
            </c:numRef>
          </c:val>
          <c:extLst>
            <c:ext xmlns:c16="http://schemas.microsoft.com/office/drawing/2014/chart" uri="{C3380CC4-5D6E-409C-BE32-E72D297353CC}">
              <c16:uniqueId val="{00000000-4A51-46C2-9603-FB269E1974F5}"/>
            </c:ext>
          </c:extLst>
        </c:ser>
        <c:dLbls>
          <c:showLegendKey val="0"/>
          <c:showVal val="0"/>
          <c:showCatName val="0"/>
          <c:showSerName val="0"/>
          <c:showPercent val="0"/>
          <c:showBubbleSize val="0"/>
        </c:dLbls>
        <c:gapWidth val="150"/>
        <c:shape val="box"/>
        <c:axId val="431340271"/>
        <c:axId val="431275951"/>
        <c:axId val="0"/>
      </c:bar3DChart>
      <c:catAx>
        <c:axId val="431340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75951"/>
        <c:crosses val="autoZero"/>
        <c:auto val="1"/>
        <c:lblAlgn val="ctr"/>
        <c:lblOffset val="100"/>
        <c:noMultiLvlLbl val="0"/>
      </c:catAx>
      <c:valAx>
        <c:axId val="43127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4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[Retail_Sales_Project.xlsx]Q2!PivotTable3</c:name>
    <c:fmtId val="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Total Sales by Products</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'Q2'!$A$2:$A$8</c:f>
              <c:strCache>
                <c:ptCount val="6"/>
                <c:pt idx="0">
                  <c:v>Jeans</c:v>
                </c:pt>
                <c:pt idx="1">
                  <c:v>Laptop</c:v>
                </c:pt>
                <c:pt idx="2">
                  <c:v>Mobile</c:v>
                </c:pt>
                <c:pt idx="3">
                  <c:v>Office Chair</c:v>
                </c:pt>
                <c:pt idx="4">
                  <c:v>Table</c:v>
                </c:pt>
                <c:pt idx="5">
                  <c:v>T-Shirt</c:v>
                </c:pt>
              </c:strCache>
            </c:strRef>
          </c:cat>
          <c:val>
            <c:numRef>
              <c:f>'Q2'!$B$2:$B$8</c:f>
              <c:numCache>
                <c:formatCode>General</c:formatCode>
                <c:ptCount val="6"/>
                <c:pt idx="0">
                  <c:v>123500</c:v>
                </c:pt>
                <c:pt idx="1">
                  <c:v>4275000</c:v>
                </c:pt>
                <c:pt idx="2">
                  <c:v>1245000</c:v>
                </c:pt>
                <c:pt idx="3">
                  <c:v>255500</c:v>
                </c:pt>
                <c:pt idx="4">
                  <c:v>286000</c:v>
                </c:pt>
                <c:pt idx="5">
                  <c:v>58400</c:v>
                </c:pt>
              </c:numCache>
            </c:numRef>
          </c:val>
          <c:extLst>
            <c:ext xmlns:c16="http://schemas.microsoft.com/office/drawing/2014/chart" uri="{C3380CC4-5D6E-409C-BE32-E72D297353CC}">
              <c16:uniqueId val="{00000000-384C-41C3-8F9E-746D863C0966}"/>
            </c:ext>
          </c:extLst>
        </c:ser>
        <c:dLbls>
          <c:showLegendKey val="0"/>
          <c:showVal val="0"/>
          <c:showCatName val="0"/>
          <c:showSerName val="0"/>
          <c:showPercent val="0"/>
          <c:showBubbleSize val="0"/>
        </c:dLbls>
        <c:gapWidth val="150"/>
        <c:shape val="box"/>
        <c:axId val="466940719"/>
        <c:axId val="466945039"/>
        <c:axId val="0"/>
      </c:bar3DChart>
      <c:catAx>
        <c:axId val="466940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45039"/>
        <c:crosses val="autoZero"/>
        <c:auto val="1"/>
        <c:lblAlgn val="ctr"/>
        <c:lblOffset val="100"/>
        <c:noMultiLvlLbl val="0"/>
      </c:catAx>
      <c:valAx>
        <c:axId val="46694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[Retail_Sales_Project.xlsx]Q3!PivotTable4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Product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'Q3'!$B$3</c:f>
              <c:strCache>
                <c:ptCount val="1"/>
                <c:pt idx="0">
                  <c:v>Total</c:v>
                </c:pt>
              </c:strCache>
            </c:strRef>
          </c:tx>
          <c:dPt>
            <c:idx val="0"/>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39C-440F-9BFD-5AA875D59A03}"/>
              </c:ext>
            </c:extLst>
          </c:dPt>
          <c:dPt>
            <c:idx val="1"/>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39C-440F-9BFD-5AA875D59A03}"/>
              </c:ext>
            </c:extLst>
          </c:dPt>
          <c:dPt>
            <c:idx val="2"/>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39C-440F-9BFD-5AA875D59A03}"/>
              </c:ext>
            </c:extLst>
          </c:dPt>
          <c:dPt>
            <c:idx val="3"/>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39C-440F-9BFD-5AA875D59A03}"/>
              </c:ext>
            </c:extLst>
          </c:dPt>
          <c:dPt>
            <c:idx val="4"/>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39C-440F-9BFD-5AA875D59A03}"/>
              </c:ext>
            </c:extLst>
          </c:dPt>
          <c:dPt>
            <c:idx val="5"/>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39C-440F-9BFD-5AA875D59A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'Q3'!$A$4:$A$10</c:f>
              <c:strCache>
                <c:ptCount val="6"/>
                <c:pt idx="0">
                  <c:v>Jeans</c:v>
                </c:pt>
                <c:pt idx="1">
                  <c:v>Laptop</c:v>
                </c:pt>
                <c:pt idx="2">
                  <c:v>Mobile</c:v>
                </c:pt>
                <c:pt idx="3">
                  <c:v>Office Chair</c:v>
                </c:pt>
                <c:pt idx="4">
                  <c:v>Table</c:v>
                </c:pt>
                <c:pt idx="5">
                  <c:v>T-Shirt</c:v>
                </c:pt>
              </c:strCache>
            </c:strRef>
          </c:cat>
          <c:val>
            <c:numRef>
              <c:f>'Q3'!$B$4:$B$10</c:f>
              <c:numCache>
                <c:formatCode>General</c:formatCode>
                <c:ptCount val="6"/>
                <c:pt idx="0">
                  <c:v>123500</c:v>
                </c:pt>
                <c:pt idx="1">
                  <c:v>4275000</c:v>
                </c:pt>
                <c:pt idx="2">
                  <c:v>1245000</c:v>
                </c:pt>
                <c:pt idx="3">
                  <c:v>255500</c:v>
                </c:pt>
                <c:pt idx="4">
                  <c:v>286000</c:v>
                </c:pt>
                <c:pt idx="5">
                  <c:v>58400</c:v>
                </c:pt>
              </c:numCache>
            </c:numRef>
          </c:val>
          <c:extLst>
            <c:ext xmlns:c16="http://schemas.microsoft.com/office/drawing/2014/chart" uri="{C3380CC4-5D6E-409C-BE32-E72D297353CC}">
              <c16:uniqueId val="{00000000-B765-4F0C-AB43-A53BCBDFC59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[Retail_Sales_Project.xlsx]Sheet3!PivotTable1</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Monthly</a:t>
            </a:r>
            <a:r>
              <a:rPr lang="en-US" baseline="0">
                <a:solidFill>
                  <a:schemeClr val="lt1"/>
                </a:solidFill>
                <a:latin typeface="+mn-lt"/>
                <a:ea typeface="+mn-ea"/>
                <a:cs typeface="+mn-cs"/>
              </a:rPr>
              <a:t> Sales Trend</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1412900</c:v>
                </c:pt>
                <c:pt idx="1">
                  <c:v>943200</c:v>
                </c:pt>
                <c:pt idx="2">
                  <c:v>1245500</c:v>
                </c:pt>
                <c:pt idx="3">
                  <c:v>813100</c:v>
                </c:pt>
                <c:pt idx="4">
                  <c:v>1267100</c:v>
                </c:pt>
                <c:pt idx="5">
                  <c:v>561600</c:v>
                </c:pt>
              </c:numCache>
            </c:numRef>
          </c:val>
          <c:smooth val="0"/>
          <c:extLst>
            <c:ext xmlns:c16="http://schemas.microsoft.com/office/drawing/2014/chart" uri="{C3380CC4-5D6E-409C-BE32-E72D297353CC}">
              <c16:uniqueId val="{00000000-F42F-4BA6-8425-F44E6719E699}"/>
            </c:ext>
          </c:extLst>
        </c:ser>
        <c:dLbls>
          <c:dLblPos val="t"/>
          <c:showLegendKey val="0"/>
          <c:showVal val="1"/>
          <c:showCatName val="0"/>
          <c:showSerName val="0"/>
          <c:showPercent val="0"/>
          <c:showBubbleSize val="0"/>
        </c:dLbls>
        <c:marker val="1"/>
        <c:smooth val="0"/>
        <c:axId val="466987759"/>
        <c:axId val="466990159"/>
      </c:lineChart>
      <c:catAx>
        <c:axId val="46698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90159"/>
        <c:crosses val="autoZero"/>
        <c:auto val="1"/>
        <c:lblAlgn val="ctr"/>
        <c:lblOffset val="100"/>
        <c:noMultiLvlLbl val="0"/>
      </c:catAx>
      <c:valAx>
        <c:axId val="46699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8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[Retail_Sales_Project.xlsx]Q1!PivotTable1</c:name>
    <c:fmtId val="2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0" cap="none" spc="0">
                <a:ln w="0"/>
                <a:solidFill>
                  <a:schemeClr val="lt1"/>
                </a:solidFill>
                <a:effectLst>
                  <a:outerShdw blurRad="38100" dist="19050" dir="2700000" algn="tl" rotWithShape="0">
                    <a:schemeClr val="dk1">
                      <a:alpha val="40000"/>
                    </a:schemeClr>
                  </a:outerShdw>
                </a:effectLst>
                <a:latin typeface="+mn-lt"/>
                <a:ea typeface="+mn-ea"/>
                <a:cs typeface="+mn-cs"/>
              </a:rPr>
              <a:t>Total Sales</a:t>
            </a:r>
            <a:r>
              <a:rPr lang="en-US" b="0" cap="none" spc="0" baseline="0">
                <a:ln w="0"/>
                <a:solidFill>
                  <a:schemeClr val="lt1"/>
                </a:solidFill>
                <a:effectLst>
                  <a:outerShdw blurRad="38100" dist="19050" dir="2700000" algn="tl" rotWithShape="0">
                    <a:schemeClr val="dk1">
                      <a:alpha val="40000"/>
                    </a:schemeClr>
                  </a:outerShdw>
                </a:effectLst>
                <a:latin typeface="+mn-lt"/>
                <a:ea typeface="+mn-ea"/>
                <a:cs typeface="+mn-cs"/>
              </a:rPr>
              <a:t> by Region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'Q1'!$B$1</c:f>
              <c:strCache>
                <c:ptCount val="1"/>
                <c:pt idx="0">
                  <c:v>Total</c:v>
                </c:pt>
              </c:strCache>
            </c:strRef>
          </c:tx>
          <c:spPr>
            <a:solidFill>
              <a:schemeClr val="accent1"/>
            </a:solidFill>
            <a:ln>
              <a:noFill/>
            </a:ln>
            <a:effectLst/>
            <a:sp3d/>
          </c:spPr>
          <c:invertIfNegative val="0"/>
          <c:cat>
            <c:strRef>
              <c:f>'Q1'!$A$2:$A$6</c:f>
              <c:strCache>
                <c:ptCount val="4"/>
                <c:pt idx="0">
                  <c:v>East</c:v>
                </c:pt>
                <c:pt idx="1">
                  <c:v>North</c:v>
                </c:pt>
                <c:pt idx="2">
                  <c:v>South</c:v>
                </c:pt>
                <c:pt idx="3">
                  <c:v>West</c:v>
                </c:pt>
              </c:strCache>
            </c:strRef>
          </c:cat>
          <c:val>
            <c:numRef>
              <c:f>'Q1'!$B$2:$B$6</c:f>
              <c:numCache>
                <c:formatCode>General</c:formatCode>
                <c:ptCount val="4"/>
                <c:pt idx="0">
                  <c:v>1375100</c:v>
                </c:pt>
                <c:pt idx="1">
                  <c:v>1678600</c:v>
                </c:pt>
                <c:pt idx="2">
                  <c:v>1228400</c:v>
                </c:pt>
                <c:pt idx="3">
                  <c:v>1961300</c:v>
                </c:pt>
              </c:numCache>
            </c:numRef>
          </c:val>
          <c:extLst>
            <c:ext xmlns:c16="http://schemas.microsoft.com/office/drawing/2014/chart" uri="{C3380CC4-5D6E-409C-BE32-E72D297353CC}">
              <c16:uniqueId val="{00000000-7066-4FF2-B17E-98FB8781137D}"/>
            </c:ext>
          </c:extLst>
        </c:ser>
        <c:dLbls>
          <c:showLegendKey val="0"/>
          <c:showVal val="0"/>
          <c:showCatName val="0"/>
          <c:showSerName val="0"/>
          <c:showPercent val="0"/>
          <c:showBubbleSize val="0"/>
        </c:dLbls>
        <c:gapWidth val="150"/>
        <c:shape val="box"/>
        <c:axId val="431340271"/>
        <c:axId val="431275951"/>
        <c:axId val="0"/>
      </c:bar3DChart>
      <c:catAx>
        <c:axId val="431340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275951"/>
        <c:crosses val="autoZero"/>
        <c:auto val="1"/>
        <c:lblAlgn val="ctr"/>
        <c:lblOffset val="100"/>
        <c:noMultiLvlLbl val="0"/>
      </c:catAx>
      <c:valAx>
        <c:axId val="43127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34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50800" dir="5400000" algn="ctr" rotWithShape="0">
        <a:srgbClr val="00000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[Retail_Sales_Project.xlsx]Q2!PivotTable3</c:name>
    <c:fmtId val="10"/>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Total Sales by Products</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'Q2'!$B$1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'Q2'!$A$2:$A$8</c:f>
              <c:strCache>
                <c:ptCount val="6"/>
                <c:pt idx="0">
                  <c:v>Jeans</c:v>
                </c:pt>
                <c:pt idx="1">
                  <c:v>Laptop</c:v>
                </c:pt>
                <c:pt idx="2">
                  <c:v>Mobile</c:v>
                </c:pt>
                <c:pt idx="3">
                  <c:v>Office Chair</c:v>
                </c:pt>
                <c:pt idx="4">
                  <c:v>Table</c:v>
                </c:pt>
                <c:pt idx="5">
                  <c:v>T-Shirt</c:v>
                </c:pt>
              </c:strCache>
            </c:strRef>
          </c:cat>
          <c:val>
            <c:numRef>
              <c:f>'Q2'!$B$2:$B$8</c:f>
              <c:numCache>
                <c:formatCode>General</c:formatCode>
                <c:ptCount val="6"/>
                <c:pt idx="0">
                  <c:v>123500</c:v>
                </c:pt>
                <c:pt idx="1">
                  <c:v>4275000</c:v>
                </c:pt>
                <c:pt idx="2">
                  <c:v>1245000</c:v>
                </c:pt>
                <c:pt idx="3">
                  <c:v>255500</c:v>
                </c:pt>
                <c:pt idx="4">
                  <c:v>286000</c:v>
                </c:pt>
                <c:pt idx="5">
                  <c:v>58400</c:v>
                </c:pt>
              </c:numCache>
            </c:numRef>
          </c:val>
          <c:extLst>
            <c:ext xmlns:c16="http://schemas.microsoft.com/office/drawing/2014/chart" uri="{C3380CC4-5D6E-409C-BE32-E72D297353CC}">
              <c16:uniqueId val="{00000000-7633-428D-9B4C-D505A158A15C}"/>
            </c:ext>
          </c:extLst>
        </c:ser>
        <c:dLbls>
          <c:showLegendKey val="0"/>
          <c:showVal val="0"/>
          <c:showCatName val="0"/>
          <c:showSerName val="0"/>
          <c:showPercent val="0"/>
          <c:showBubbleSize val="0"/>
        </c:dLbls>
        <c:gapWidth val="150"/>
        <c:shape val="box"/>
        <c:axId val="466940719"/>
        <c:axId val="466945039"/>
        <c:axId val="0"/>
      </c:bar3DChart>
      <c:catAx>
        <c:axId val="4669407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45039"/>
        <c:crosses val="autoZero"/>
        <c:auto val="1"/>
        <c:lblAlgn val="ctr"/>
        <c:lblOffset val="100"/>
        <c:noMultiLvlLbl val="0"/>
      </c:catAx>
      <c:valAx>
        <c:axId val="46694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[Retail_Sales_Project.xlsx]Sheet3!PivotTable1</c:name>
    <c:fmtId val="1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Monthly</a:t>
            </a:r>
            <a:r>
              <a:rPr lang="en-US" baseline="0">
                <a:solidFill>
                  <a:schemeClr val="lt1"/>
                </a:solidFill>
                <a:latin typeface="+mn-lt"/>
                <a:ea typeface="+mn-ea"/>
                <a:cs typeface="+mn-cs"/>
              </a:rPr>
              <a:t> Sales Trend</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Sheet3!$A$4:$A$10</c:f>
              <c:strCache>
                <c:ptCount val="6"/>
                <c:pt idx="0">
                  <c:v>Jan</c:v>
                </c:pt>
                <c:pt idx="1">
                  <c:v>Feb</c:v>
                </c:pt>
                <c:pt idx="2">
                  <c:v>Mar</c:v>
                </c:pt>
                <c:pt idx="3">
                  <c:v>Apr</c:v>
                </c:pt>
                <c:pt idx="4">
                  <c:v>May</c:v>
                </c:pt>
                <c:pt idx="5">
                  <c:v>Jun</c:v>
                </c:pt>
              </c:strCache>
            </c:strRef>
          </c:cat>
          <c:val>
            <c:numRef>
              <c:f>Sheet3!$B$4:$B$10</c:f>
              <c:numCache>
                <c:formatCode>General</c:formatCode>
                <c:ptCount val="6"/>
                <c:pt idx="0">
                  <c:v>1412900</c:v>
                </c:pt>
                <c:pt idx="1">
                  <c:v>943200</c:v>
                </c:pt>
                <c:pt idx="2">
                  <c:v>1245500</c:v>
                </c:pt>
                <c:pt idx="3">
                  <c:v>813100</c:v>
                </c:pt>
                <c:pt idx="4">
                  <c:v>1267100</c:v>
                </c:pt>
                <c:pt idx="5">
                  <c:v>561600</c:v>
                </c:pt>
              </c:numCache>
            </c:numRef>
          </c:val>
          <c:smooth val="0"/>
          <c:extLst>
            <c:ext xmlns:c16="http://schemas.microsoft.com/office/drawing/2014/chart" uri="{C3380CC4-5D6E-409C-BE32-E72D297353CC}">
              <c16:uniqueId val="{00000001-3EFA-4444-9ED0-56AA948D0A90}"/>
            </c:ext>
          </c:extLst>
        </c:ser>
        <c:dLbls>
          <c:dLblPos val="t"/>
          <c:showLegendKey val="0"/>
          <c:showVal val="1"/>
          <c:showCatName val="0"/>
          <c:showSerName val="0"/>
          <c:showPercent val="0"/>
          <c:showBubbleSize val="0"/>
        </c:dLbls>
        <c:marker val="1"/>
        <c:smooth val="0"/>
        <c:axId val="466987759"/>
        <c:axId val="466990159"/>
      </c:lineChart>
      <c:catAx>
        <c:axId val="46698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90159"/>
        <c:crosses val="autoZero"/>
        <c:auto val="1"/>
        <c:lblAlgn val="ctr"/>
        <c:lblOffset val="100"/>
        <c:noMultiLvlLbl val="0"/>
      </c:catAx>
      <c:valAx>
        <c:axId val="46699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98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[Retail_Sales_Project.xlsx]Q3!PivotTable4</c:name>
    <c:fmtId val="17"/>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Sales by Product </a:t>
            </a:r>
            <a:endParaRPr lang="en-US"/>
          </a:p>
        </c:rich>
      </c:tx>
      <c:overlay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'Q3'!$B$3</c:f>
              <c:strCache>
                <c:ptCount val="1"/>
                <c:pt idx="0">
                  <c:v>Total</c:v>
                </c:pt>
              </c:strCache>
            </c:strRef>
          </c:tx>
          <c:dPt>
            <c:idx val="0"/>
            <c:bubble3D val="0"/>
            <c:spPr>
              <a:gradFill rotWithShape="1">
                <a:gsLst>
                  <a:gs pos="0">
                    <a:schemeClr val="accent5">
                      <a:shade val="50000"/>
                      <a:shade val="51000"/>
                      <a:satMod val="130000"/>
                    </a:schemeClr>
                  </a:gs>
                  <a:gs pos="80000">
                    <a:schemeClr val="accent5">
                      <a:shade val="50000"/>
                      <a:shade val="93000"/>
                      <a:satMod val="130000"/>
                    </a:schemeClr>
                  </a:gs>
                  <a:gs pos="100000">
                    <a:schemeClr val="accent5">
                      <a:shade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C7D-48BD-AA31-9AB3A001EF8C}"/>
              </c:ext>
            </c:extLst>
          </c:dPt>
          <c:dPt>
            <c:idx val="1"/>
            <c:bubble3D val="0"/>
            <c:spPr>
              <a:gradFill rotWithShape="1">
                <a:gsLst>
                  <a:gs pos="0">
                    <a:schemeClr val="accent5">
                      <a:shade val="70000"/>
                      <a:shade val="51000"/>
                      <a:satMod val="130000"/>
                    </a:schemeClr>
                  </a:gs>
                  <a:gs pos="80000">
                    <a:schemeClr val="accent5">
                      <a:shade val="70000"/>
                      <a:shade val="93000"/>
                      <a:satMod val="130000"/>
                    </a:schemeClr>
                  </a:gs>
                  <a:gs pos="100000">
                    <a:schemeClr val="accent5">
                      <a:shade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C7D-48BD-AA31-9AB3A001EF8C}"/>
              </c:ext>
            </c:extLst>
          </c:dPt>
          <c:dPt>
            <c:idx val="2"/>
            <c:bubble3D val="0"/>
            <c:spPr>
              <a:gradFill rotWithShape="1">
                <a:gsLst>
                  <a:gs pos="0">
                    <a:schemeClr val="accent5">
                      <a:shade val="90000"/>
                      <a:shade val="51000"/>
                      <a:satMod val="130000"/>
                    </a:schemeClr>
                  </a:gs>
                  <a:gs pos="80000">
                    <a:schemeClr val="accent5">
                      <a:shade val="90000"/>
                      <a:shade val="93000"/>
                      <a:satMod val="130000"/>
                    </a:schemeClr>
                  </a:gs>
                  <a:gs pos="100000">
                    <a:schemeClr val="accent5">
                      <a:shade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C7D-48BD-AA31-9AB3A001EF8C}"/>
              </c:ext>
            </c:extLst>
          </c:dPt>
          <c:dPt>
            <c:idx val="3"/>
            <c:bubble3D val="0"/>
            <c:spPr>
              <a:gradFill rotWithShape="1">
                <a:gsLst>
                  <a:gs pos="0">
                    <a:schemeClr val="accent5">
                      <a:tint val="90000"/>
                      <a:shade val="51000"/>
                      <a:satMod val="130000"/>
                    </a:schemeClr>
                  </a:gs>
                  <a:gs pos="80000">
                    <a:schemeClr val="accent5">
                      <a:tint val="90000"/>
                      <a:shade val="93000"/>
                      <a:satMod val="130000"/>
                    </a:schemeClr>
                  </a:gs>
                  <a:gs pos="100000">
                    <a:schemeClr val="accent5">
                      <a:tint val="9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C7D-48BD-AA31-9AB3A001EF8C}"/>
              </c:ext>
            </c:extLst>
          </c:dPt>
          <c:dPt>
            <c:idx val="4"/>
            <c:bubble3D val="0"/>
            <c:spPr>
              <a:gradFill rotWithShape="1">
                <a:gsLst>
                  <a:gs pos="0">
                    <a:schemeClr val="accent5">
                      <a:tint val="70000"/>
                      <a:shade val="51000"/>
                      <a:satMod val="130000"/>
                    </a:schemeClr>
                  </a:gs>
                  <a:gs pos="80000">
                    <a:schemeClr val="accent5">
                      <a:tint val="70000"/>
                      <a:shade val="93000"/>
                      <a:satMod val="130000"/>
                    </a:schemeClr>
                  </a:gs>
                  <a:gs pos="100000">
                    <a:schemeClr val="accent5">
                      <a:tint val="7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C7D-48BD-AA31-9AB3A001EF8C}"/>
              </c:ext>
            </c:extLst>
          </c:dPt>
          <c:dPt>
            <c:idx val="5"/>
            <c:bubble3D val="0"/>
            <c:spPr>
              <a:gradFill rotWithShape="1">
                <a:gsLst>
                  <a:gs pos="0">
                    <a:schemeClr val="accent5">
                      <a:tint val="50000"/>
                      <a:shade val="51000"/>
                      <a:satMod val="130000"/>
                    </a:schemeClr>
                  </a:gs>
                  <a:gs pos="80000">
                    <a:schemeClr val="accent5">
                      <a:tint val="50000"/>
                      <a:shade val="93000"/>
                      <a:satMod val="130000"/>
                    </a:schemeClr>
                  </a:gs>
                  <a:gs pos="100000">
                    <a:schemeClr val="accent5">
                      <a:tint val="5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C7D-48BD-AA31-9AB3A001EF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'Q3'!$A$4:$A$10</c:f>
              <c:strCache>
                <c:ptCount val="6"/>
                <c:pt idx="0">
                  <c:v>Jeans</c:v>
                </c:pt>
                <c:pt idx="1">
                  <c:v>Laptop</c:v>
                </c:pt>
                <c:pt idx="2">
                  <c:v>Mobile</c:v>
                </c:pt>
                <c:pt idx="3">
                  <c:v>Office Chair</c:v>
                </c:pt>
                <c:pt idx="4">
                  <c:v>Table</c:v>
                </c:pt>
                <c:pt idx="5">
                  <c:v>T-Shirt</c:v>
                </c:pt>
              </c:strCache>
            </c:strRef>
          </c:cat>
          <c:val>
            <c:numRef>
              <c:f>'Q3'!$B$4:$B$10</c:f>
              <c:numCache>
                <c:formatCode>General</c:formatCode>
                <c:ptCount val="6"/>
                <c:pt idx="0">
                  <c:v>123500</c:v>
                </c:pt>
                <c:pt idx="1">
                  <c:v>4275000</c:v>
                </c:pt>
                <c:pt idx="2">
                  <c:v>1245000</c:v>
                </c:pt>
                <c:pt idx="3">
                  <c:v>255500</c:v>
                </c:pt>
                <c:pt idx="4">
                  <c:v>286000</c:v>
                </c:pt>
                <c:pt idx="5">
                  <c:v>58400</c:v>
                </c:pt>
              </c:numCache>
            </c:numRef>
          </c:val>
          <c:extLst>
            <c:ext xmlns:c16="http://schemas.microsoft.com/office/drawing/2014/chart" uri="{C3380CC4-5D6E-409C-BE32-E72D297353CC}">
              <c16:uniqueId val="{0000000C-7C7D-48BD-AA31-9AB3A001EF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281940</xdr:colOff>
      <xdr:row>4</xdr:row>
      <xdr:rowOff>60960</xdr:rowOff>
    </xdr:from>
    <xdr:to>
      <xdr:col>11</xdr:col>
      <xdr:colOff>228600</xdr:colOff>
      <xdr:row>22</xdr:row>
      <xdr:rowOff>60960</xdr:rowOff>
    </xdr:to>
    <xdr:graphicFrame macro="">
      <xdr:nvGraphicFramePr>
        <xdr:cNvPr id="3" name="Chart 2">
          <a:extLst>
            <a:ext uri="{FF2B5EF4-FFF2-40B4-BE49-F238E27FC236}">
              <a16:creationId xmlns:a16="http://schemas.microsoft.com/office/drawing/2014/main" id="{24E16C13-4AAC-E980-641E-E556147F0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6</xdr:row>
      <xdr:rowOff>45720</xdr:rowOff>
    </xdr:from>
    <xdr:to>
      <xdr:col>11</xdr:col>
      <xdr:colOff>7620</xdr:colOff>
      <xdr:row>22</xdr:row>
      <xdr:rowOff>45720</xdr:rowOff>
    </xdr:to>
    <xdr:graphicFrame macro="">
      <xdr:nvGraphicFramePr>
        <xdr:cNvPr id="2" name="Chart 1">
          <a:extLst>
            <a:ext uri="{FF2B5EF4-FFF2-40B4-BE49-F238E27FC236}">
              <a16:creationId xmlns:a16="http://schemas.microsoft.com/office/drawing/2014/main" id="{87F9910F-5FD1-949A-C154-AAC55D84D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373380</xdr:colOff>
      <xdr:row>6</xdr:row>
      <xdr:rowOff>45720</xdr:rowOff>
    </xdr:from>
    <xdr:to>
      <xdr:col>14</xdr:col>
      <xdr:colOff>68580</xdr:colOff>
      <xdr:row>22</xdr:row>
      <xdr:rowOff>45720</xdr:rowOff>
    </xdr:to>
    <xdr:graphicFrame macro="">
      <xdr:nvGraphicFramePr>
        <xdr:cNvPr id="3" name="Chart 2">
          <a:extLst>
            <a:ext uri="{FF2B5EF4-FFF2-40B4-BE49-F238E27FC236}">
              <a16:creationId xmlns:a16="http://schemas.microsoft.com/office/drawing/2014/main" id="{F090D376-90BC-26CA-DCCB-68069ABB7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6</xdr:row>
      <xdr:rowOff>45720</xdr:rowOff>
    </xdr:from>
    <xdr:to>
      <xdr:col>11</xdr:col>
      <xdr:colOff>312420</xdr:colOff>
      <xdr:row>21</xdr:row>
      <xdr:rowOff>45720</xdr:rowOff>
    </xdr:to>
    <xdr:graphicFrame macro="">
      <xdr:nvGraphicFramePr>
        <xdr:cNvPr id="3" name="Chart 2">
          <a:extLst>
            <a:ext uri="{FF2B5EF4-FFF2-40B4-BE49-F238E27FC236}">
              <a16:creationId xmlns:a16="http://schemas.microsoft.com/office/drawing/2014/main" id="{CF276EC4-3DF7-ED93-2632-983231504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6</xdr:row>
      <xdr:rowOff>0</xdr:rowOff>
    </xdr:from>
    <xdr:to>
      <xdr:col>14</xdr:col>
      <xdr:colOff>0</xdr:colOff>
      <xdr:row>22</xdr:row>
      <xdr:rowOff>0</xdr:rowOff>
    </xdr:to>
    <xdr:graphicFrame macro="">
      <xdr:nvGraphicFramePr>
        <xdr:cNvPr id="2" name="Chart 1">
          <a:extLst>
            <a:ext uri="{FF2B5EF4-FFF2-40B4-BE49-F238E27FC236}">
              <a16:creationId xmlns:a16="http://schemas.microsoft.com/office/drawing/2014/main" id="{354F1A50-4950-4F3D-8BCB-7A62FDF02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15</xdr:row>
      <xdr:rowOff>1</xdr:rowOff>
    </xdr:from>
    <xdr:to>
      <xdr:col>5</xdr:col>
      <xdr:colOff>0</xdr:colOff>
      <xdr:row>26</xdr:row>
      <xdr:rowOff>60960</xdr:rowOff>
    </xdr:to>
    <mc:AlternateContent xmlns:mc="http://schemas.openxmlformats.org/markup-compatibility/2006" xmlns:a14="http://schemas.microsoft.com/office/drawing/2010/main">
      <mc:Choice Requires="a14">
        <xdr:graphicFrame macro="">
          <xdr:nvGraphicFramePr>
            <xdr:cNvPr id="4" name="Months (Date)">
              <a:extLst>
                <a:ext uri="{FF2B5EF4-FFF2-40B4-BE49-F238E27FC236}">
                  <a16:creationId xmlns:a16="http://schemas.microsoft.com/office/drawing/2014/main" id="{A2AC6397-C48D-B33C-2D27-4D49B2EB31D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439271" y="2554942"/>
              <a:ext cx="1828800" cy="1979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28</xdr:row>
      <xdr:rowOff>0</xdr:rowOff>
    </xdr:from>
    <xdr:to>
      <xdr:col>5</xdr:col>
      <xdr:colOff>0</xdr:colOff>
      <xdr:row>40</xdr:row>
      <xdr:rowOff>0</xdr:rowOff>
    </xdr:to>
    <mc:AlternateContent xmlns:mc="http://schemas.openxmlformats.org/markup-compatibility/2006" xmlns:a14="http://schemas.microsoft.com/office/drawing/2010/main">
      <mc:Choice Requires="a14">
        <xdr:graphicFrame macro="">
          <xdr:nvGraphicFramePr>
            <xdr:cNvPr id="5" name="Product_Name">
              <a:extLst>
                <a:ext uri="{FF2B5EF4-FFF2-40B4-BE49-F238E27FC236}">
                  <a16:creationId xmlns:a16="http://schemas.microsoft.com/office/drawing/2014/main" id="{FE77000A-A551-9CDB-7BA2-E3C6C5202AC6}"/>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439271" y="4831976"/>
              <a:ext cx="1828800" cy="2079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23</xdr:row>
      <xdr:rowOff>0</xdr:rowOff>
    </xdr:from>
    <xdr:to>
      <xdr:col>14</xdr:col>
      <xdr:colOff>0</xdr:colOff>
      <xdr:row>39</xdr:row>
      <xdr:rowOff>0</xdr:rowOff>
    </xdr:to>
    <xdr:graphicFrame macro="">
      <xdr:nvGraphicFramePr>
        <xdr:cNvPr id="6" name="Chart 5">
          <a:extLst>
            <a:ext uri="{FF2B5EF4-FFF2-40B4-BE49-F238E27FC236}">
              <a16:creationId xmlns:a16="http://schemas.microsoft.com/office/drawing/2014/main" id="{0BB0816B-8871-40B6-9F11-F5A4016F6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23</xdr:row>
      <xdr:rowOff>0</xdr:rowOff>
    </xdr:from>
    <xdr:to>
      <xdr:col>22</xdr:col>
      <xdr:colOff>0</xdr:colOff>
      <xdr:row>39</xdr:row>
      <xdr:rowOff>0</xdr:rowOff>
    </xdr:to>
    <xdr:graphicFrame macro="">
      <xdr:nvGraphicFramePr>
        <xdr:cNvPr id="9" name="Chart 8">
          <a:extLst>
            <a:ext uri="{FF2B5EF4-FFF2-40B4-BE49-F238E27FC236}">
              <a16:creationId xmlns:a16="http://schemas.microsoft.com/office/drawing/2014/main" id="{7C626D1C-34D6-4025-BAE6-7AF177974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xdr:row>
      <xdr:rowOff>0</xdr:rowOff>
    </xdr:from>
    <xdr:to>
      <xdr:col>22</xdr:col>
      <xdr:colOff>0</xdr:colOff>
      <xdr:row>22</xdr:row>
      <xdr:rowOff>0</xdr:rowOff>
    </xdr:to>
    <xdr:graphicFrame macro="">
      <xdr:nvGraphicFramePr>
        <xdr:cNvPr id="10" name="Chart 9">
          <a:extLst>
            <a:ext uri="{FF2B5EF4-FFF2-40B4-BE49-F238E27FC236}">
              <a16:creationId xmlns:a16="http://schemas.microsoft.com/office/drawing/2014/main" id="{3714EA4D-0DFD-4FF4-AFC4-45690D6F0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5</xdr:row>
      <xdr:rowOff>0</xdr:rowOff>
    </xdr:from>
    <xdr:to>
      <xdr:col>5</xdr:col>
      <xdr:colOff>0</xdr:colOff>
      <xdr:row>13</xdr:row>
      <xdr:rowOff>76200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8A3D4AA-14E0-2271-D13F-DBC1CC3F18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9271" y="833718"/>
              <a:ext cx="1828800" cy="1438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ANSHYAM PRAJAPATI" refreshedDate="45957.838689699071" createdVersion="8" refreshedVersion="8" minRefreshableVersion="3" recordCount="150" xr:uid="{45C15A88-8FB3-43AB-A4DF-2AED85B39054}">
  <cacheSource type="worksheet">
    <worksheetSource ref="A1:J151" sheet="Sales_Data"/>
  </cacheSource>
  <cacheFields count="12">
    <cacheField name="Date" numFmtId="164">
      <sharedItems containsSemiMixedTypes="0" containsNonDate="0" containsDate="1" containsString="0" minDate="2025-01-03T00:00:00" maxDate="2025-06-30T00:00:00" count="100">
        <d v="2025-04-13T00:00:00"/>
        <d v="2025-05-02T00:00:00"/>
        <d v="2025-05-30T00:00:00"/>
        <d v="2025-01-21T00:00:00"/>
        <d v="2025-02-28T00:00:00"/>
        <d v="2025-06-24T00:00:00"/>
        <d v="2025-05-11T00:00:00"/>
        <d v="2025-05-12T00:00:00"/>
        <d v="2025-02-22T00:00:00"/>
        <d v="2025-04-14T00:00:00"/>
        <d v="2025-05-26T00:00:00"/>
        <d v="2025-01-14T00:00:00"/>
        <d v="2025-02-09T00:00:00"/>
        <d v="2025-02-10T00:00:00"/>
        <d v="2025-01-09T00:00:00"/>
        <d v="2025-05-16T00:00:00"/>
        <d v="2025-02-17T00:00:00"/>
        <d v="2025-01-15T00:00:00"/>
        <d v="2025-03-04T00:00:00"/>
        <d v="2025-05-31T00:00:00"/>
        <d v="2025-01-13T00:00:00"/>
        <d v="2025-01-28T00:00:00"/>
        <d v="2025-05-08T00:00:00"/>
        <d v="2025-05-09T00:00:00"/>
        <d v="2025-01-03T00:00:00"/>
        <d v="2025-06-14T00:00:00"/>
        <d v="2025-03-03T00:00:00"/>
        <d v="2025-02-08T00:00:00"/>
        <d v="2025-03-22T00:00:00"/>
        <d v="2025-06-09T00:00:00"/>
        <d v="2025-05-25T00:00:00"/>
        <d v="2025-05-19T00:00:00"/>
        <d v="2025-04-03T00:00:00"/>
        <d v="2025-03-31T00:00:00"/>
        <d v="2025-02-21T00:00:00"/>
        <d v="2025-06-27T00:00:00"/>
        <d v="2025-06-01T00:00:00"/>
        <d v="2025-06-13T00:00:00"/>
        <d v="2025-04-09T00:00:00"/>
        <d v="2025-06-12T00:00:00"/>
        <d v="2025-02-02T00:00:00"/>
        <d v="2025-04-29T00:00:00"/>
        <d v="2025-01-27T00:00:00"/>
        <d v="2025-03-02T00:00:00"/>
        <d v="2025-01-17T00:00:00"/>
        <d v="2025-01-24T00:00:00"/>
        <d v="2025-04-26T00:00:00"/>
        <d v="2025-01-18T00:00:00"/>
        <d v="2025-06-23T00:00:00"/>
        <d v="2025-01-26T00:00:00"/>
        <d v="2025-05-15T00:00:00"/>
        <d v="2025-01-08T00:00:00"/>
        <d v="2025-05-23T00:00:00"/>
        <d v="2025-02-18T00:00:00"/>
        <d v="2025-03-01T00:00:00"/>
        <d v="2025-04-19T00:00:00"/>
        <d v="2025-04-30T00:00:00"/>
        <d v="2025-04-27T00:00:00"/>
        <d v="2025-02-27T00:00:00"/>
        <d v="2025-03-17T00:00:00"/>
        <d v="2025-01-29T00:00:00"/>
        <d v="2025-05-24T00:00:00"/>
        <d v="2025-04-11T00:00:00"/>
        <d v="2025-06-29T00:00:00"/>
        <d v="2025-01-16T00:00:00"/>
        <d v="2025-06-28T00:00:00"/>
        <d v="2025-06-17T00:00:00"/>
        <d v="2025-04-05T00:00:00"/>
        <d v="2025-02-04T00:00:00"/>
        <d v="2025-04-25T00:00:00"/>
        <d v="2025-04-24T00:00:00"/>
        <d v="2025-04-06T00:00:00"/>
        <d v="2025-04-22T00:00:00"/>
        <d v="2025-06-26T00:00:00"/>
        <d v="2025-04-21T00:00:00"/>
        <d v="2025-02-26T00:00:00"/>
        <d v="2025-03-24T00:00:00"/>
        <d v="2025-03-12T00:00:00"/>
        <d v="2025-06-08T00:00:00"/>
        <d v="2025-05-06T00:00:00"/>
        <d v="2025-02-25T00:00:00"/>
        <d v="2025-06-22T00:00:00"/>
        <d v="2025-04-12T00:00:00"/>
        <d v="2025-06-10T00:00:00"/>
        <d v="2025-05-21T00:00:00"/>
        <d v="2025-02-16T00:00:00"/>
        <d v="2025-04-15T00:00:00"/>
        <d v="2025-02-24T00:00:00"/>
        <d v="2025-01-04T00:00:00"/>
        <d v="2025-02-23T00:00:00"/>
        <d v="2025-02-19T00:00:00"/>
        <d v="2025-06-15T00:00:00"/>
        <d v="2025-02-03T00:00:00"/>
        <d v="2025-02-12T00:00:00"/>
        <d v="2025-06-04T00:00:00"/>
        <d v="2025-02-20T00:00:00"/>
        <d v="2025-01-12T00:00:00"/>
        <d v="2025-03-19T00:00:00"/>
        <d v="2025-02-07T00:00:00"/>
        <d v="2025-03-08T00:00:00"/>
      </sharedItems>
      <fieldGroup par="11"/>
    </cacheField>
    <cacheField name="Invoice_ID" numFmtId="0">
      <sharedItems count="149">
        <s v="INV6734"/>
        <s v="INV9322"/>
        <s v="INV6311"/>
        <s v="INV9666"/>
        <s v="INV1189"/>
        <s v="INV2528"/>
        <s v="INV6393"/>
        <s v="INV8513"/>
        <s v="INV1775"/>
        <s v="INV2585"/>
        <s v="INV8989"/>
        <s v="INV1995"/>
        <s v="INV8869"/>
        <s v="INV1878"/>
        <s v="INV9571"/>
        <s v="INV9006"/>
        <s v="INV7736"/>
        <s v="INV6892"/>
        <s v="INV4104"/>
        <s v="INV3731"/>
        <s v="INV9110"/>
        <s v="INV5488"/>
        <s v="INV8858"/>
        <s v="INV2757"/>
        <s v="INV2059"/>
        <s v="INV3693"/>
        <s v="INV6450"/>
        <s v="INV8392"/>
        <s v="INV6864"/>
        <s v="INV5413"/>
        <s v="INV1663"/>
        <s v="INV6232"/>
        <s v="INV4581"/>
        <s v="INV4696"/>
        <s v="INV1854"/>
        <s v="INV2707"/>
        <s v="INV5218"/>
        <s v="INV8777"/>
        <s v="INV3511"/>
        <s v="INV7546"/>
        <s v="INV3911"/>
        <s v="INV2802"/>
        <s v="INV7287"/>
        <s v="INV3049"/>
        <s v="INV8158"/>
        <s v="INV5499"/>
        <s v="INV2648"/>
        <s v="INV3557"/>
        <s v="INV3869"/>
        <s v="INV6699"/>
        <s v="INV5496"/>
        <s v="INV9050"/>
        <s v="INV6895"/>
        <s v="INV8022"/>
        <s v="INV8679"/>
        <s v="INV2060"/>
        <s v="INV1699"/>
        <s v="INV9319"/>
        <s v="INV2895"/>
        <s v="INV2409"/>
        <s v="INV6801"/>
        <s v="INV7971"/>
        <s v="INV3368"/>
        <s v="INV7614"/>
        <s v="INV4769"/>
        <s v="INV8509"/>
        <s v="INV4124"/>
        <s v="INV5869"/>
        <s v="INV7799"/>
        <s v="INV5752"/>
        <s v="INV9932"/>
        <s v="INV2664"/>
        <s v="INV8404"/>
        <s v="INV8004"/>
        <s v="INV8253"/>
        <s v="INV3141"/>
        <s v="INV8421"/>
        <s v="INV3849"/>
        <s v="INV5611"/>
        <s v="INV1851"/>
        <s v="INV5000"/>
        <s v="INV6536"/>
        <s v="INV5107"/>
        <s v="INV9945"/>
        <s v="INV1417"/>
        <s v="INV8668"/>
        <s v="INV1728"/>
        <s v="INV6988"/>
        <s v="INV6073"/>
        <s v="INV4440"/>
        <s v="INV9787"/>
        <s v="INV8186"/>
        <s v="INV9082"/>
        <s v="INV5946"/>
        <s v="INV8192"/>
        <s v="INV2167"/>
        <s v="INV7541"/>
        <s v="INV9010"/>
        <s v="INV3539"/>
        <s v="INV7938"/>
        <s v="INV6541"/>
        <s v="INV9702"/>
        <s v="INV4141"/>
        <s v="INV9905"/>
        <s v="INV5748"/>
        <s v="INV4072"/>
        <s v="INV8576"/>
        <s v="INV4627"/>
        <s v="INV6348"/>
        <s v="INV7190"/>
        <s v="INV9053"/>
        <s v="INV6063"/>
        <s v="INV7819"/>
        <s v="INV5964"/>
        <s v="INV6320"/>
        <s v="INV1924"/>
        <s v="INV8026"/>
        <s v="INV8418"/>
        <s v="INV3193"/>
        <s v="INV4925"/>
        <s v="INV2633"/>
        <s v="INV9175"/>
        <s v="INV6989"/>
        <s v="INV5809"/>
        <s v="INV5780"/>
        <s v="INV4419"/>
        <s v="INV5363"/>
        <s v="INV7544"/>
        <s v="INV5530"/>
        <s v="INV7949"/>
        <s v="INV2331"/>
        <s v="INV8730"/>
        <s v="INV7327"/>
        <s v="INV5164"/>
        <s v="INV7269"/>
        <s v="INV7031"/>
        <s v="INV2887"/>
        <s v="INV7777"/>
        <s v="INV5777"/>
        <s v="INV7376"/>
        <s v="INV8240"/>
        <s v="INV3878"/>
        <s v="INV2276"/>
        <s v="INV9150"/>
        <s v="INV6126"/>
        <s v="INV4345"/>
        <s v="INV5632"/>
        <s v="INV8561"/>
        <s v="INV5206"/>
      </sharedItems>
    </cacheField>
    <cacheField name="Product_ID" numFmtId="0">
      <sharedItems count="6">
        <s v="P202"/>
        <s v="P201"/>
        <s v="P301"/>
        <s v="P101"/>
        <s v="P102"/>
        <s v="P302"/>
      </sharedItems>
    </cacheField>
    <cacheField name="Product_Name" numFmtId="0">
      <sharedItems count="6">
        <s v="Table"/>
        <s v="Office Chair"/>
        <s v="T-Shirt"/>
        <s v="Laptop"/>
        <s v="Mobile"/>
        <s v="Jeans"/>
      </sharedItems>
    </cacheField>
    <cacheField name="Category" numFmtId="0">
      <sharedItems/>
    </cacheField>
    <cacheField name="Region" numFmtId="0">
      <sharedItems count="4">
        <s v="North"/>
        <s v="East"/>
        <s v="South"/>
        <s v="West"/>
      </sharedItems>
    </cacheField>
    <cacheField name="Salesperson"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800" maxValue="45000"/>
    </cacheField>
    <cacheField name="Total_Sales" numFmtId="0">
      <sharedItems containsSemiMixedTypes="0" containsString="0" containsNumber="1" containsInteger="1" minValue="800" maxValue="225000"/>
    </cacheField>
    <cacheField name="Days (Date)" numFmtId="0" databaseField="0">
      <fieldGroup base="0">
        <rangePr groupBy="days" startDate="2025-01-03T00:00:00" endDate="2025-06-30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5"/>
        </groupItems>
      </fieldGroup>
    </cacheField>
    <cacheField name="Months (Date)" numFmtId="0" databaseField="0">
      <fieldGroup base="0">
        <rangePr groupBy="months" startDate="2025-01-03T00:00:00" endDate="2025-06-30T00:00:00"/>
        <groupItems count="14">
          <s v="&lt;1/3/2025"/>
          <s v="Jan"/>
          <s v="Feb"/>
          <s v="Mar"/>
          <s v="Apr"/>
          <s v="May"/>
          <s v="Jun"/>
          <s v="Jul"/>
          <s v="Aug"/>
          <s v="Sep"/>
          <s v="Oct"/>
          <s v="Nov"/>
          <s v="Dec"/>
          <s v="&gt;6/30/2025"/>
        </groupItems>
      </fieldGroup>
    </cacheField>
  </cacheFields>
  <extLst>
    <ext xmlns:x14="http://schemas.microsoft.com/office/spreadsheetml/2009/9/main" uri="{725AE2AE-9491-48be-B2B4-4EB974FC3084}">
      <x14:pivotCacheDefinition pivotCacheId="764087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s v="Furniture"/>
    <x v="0"/>
    <s v="C. Patel"/>
    <n v="5"/>
    <n v="5500"/>
    <n v="27500"/>
  </r>
  <r>
    <x v="1"/>
    <x v="1"/>
    <x v="1"/>
    <x v="1"/>
    <s v="Furniture"/>
    <x v="1"/>
    <s v="C. Patel"/>
    <n v="3"/>
    <n v="3500"/>
    <n v="10500"/>
  </r>
  <r>
    <x v="2"/>
    <x v="2"/>
    <x v="2"/>
    <x v="2"/>
    <s v="Apparel"/>
    <x v="2"/>
    <s v="D. Mehta"/>
    <n v="2"/>
    <n v="800"/>
    <n v="1600"/>
  </r>
  <r>
    <x v="3"/>
    <x v="3"/>
    <x v="3"/>
    <x v="3"/>
    <s v="Electronics"/>
    <x v="3"/>
    <s v="B. Singh"/>
    <n v="5"/>
    <n v="45000"/>
    <n v="225000"/>
  </r>
  <r>
    <x v="4"/>
    <x v="4"/>
    <x v="4"/>
    <x v="4"/>
    <s v="Electronics"/>
    <x v="3"/>
    <s v="D. Mehta"/>
    <n v="4"/>
    <n v="15000"/>
    <n v="60000"/>
  </r>
  <r>
    <x v="5"/>
    <x v="5"/>
    <x v="5"/>
    <x v="5"/>
    <s v="Apparel"/>
    <x v="1"/>
    <s v="D. Mehta"/>
    <n v="4"/>
    <n v="1300"/>
    <n v="5200"/>
  </r>
  <r>
    <x v="6"/>
    <x v="6"/>
    <x v="2"/>
    <x v="2"/>
    <s v="Apparel"/>
    <x v="1"/>
    <s v="E. Khan"/>
    <n v="1"/>
    <n v="800"/>
    <n v="800"/>
  </r>
  <r>
    <x v="7"/>
    <x v="7"/>
    <x v="3"/>
    <x v="3"/>
    <s v="Electronics"/>
    <x v="3"/>
    <s v="B. Singh"/>
    <n v="2"/>
    <n v="45000"/>
    <n v="90000"/>
  </r>
  <r>
    <x v="8"/>
    <x v="8"/>
    <x v="4"/>
    <x v="4"/>
    <s v="Electronics"/>
    <x v="3"/>
    <s v="D. Mehta"/>
    <n v="4"/>
    <n v="15000"/>
    <n v="60000"/>
  </r>
  <r>
    <x v="5"/>
    <x v="9"/>
    <x v="1"/>
    <x v="1"/>
    <s v="Furniture"/>
    <x v="2"/>
    <s v="A. Sharma"/>
    <n v="4"/>
    <n v="3500"/>
    <n v="14000"/>
  </r>
  <r>
    <x v="9"/>
    <x v="10"/>
    <x v="0"/>
    <x v="0"/>
    <s v="Furniture"/>
    <x v="2"/>
    <s v="B. Singh"/>
    <n v="4"/>
    <n v="5500"/>
    <n v="22000"/>
  </r>
  <r>
    <x v="10"/>
    <x v="11"/>
    <x v="4"/>
    <x v="4"/>
    <s v="Electronics"/>
    <x v="3"/>
    <s v="B. Singh"/>
    <n v="2"/>
    <n v="15000"/>
    <n v="30000"/>
  </r>
  <r>
    <x v="11"/>
    <x v="12"/>
    <x v="5"/>
    <x v="5"/>
    <s v="Apparel"/>
    <x v="1"/>
    <s v="D. Mehta"/>
    <n v="1"/>
    <n v="1300"/>
    <n v="1300"/>
  </r>
  <r>
    <x v="12"/>
    <x v="13"/>
    <x v="2"/>
    <x v="2"/>
    <s v="Apparel"/>
    <x v="3"/>
    <s v="E. Khan"/>
    <n v="2"/>
    <n v="800"/>
    <n v="1600"/>
  </r>
  <r>
    <x v="8"/>
    <x v="14"/>
    <x v="4"/>
    <x v="4"/>
    <s v="Electronics"/>
    <x v="0"/>
    <s v="D. Mehta"/>
    <n v="4"/>
    <n v="15000"/>
    <n v="60000"/>
  </r>
  <r>
    <x v="13"/>
    <x v="15"/>
    <x v="2"/>
    <x v="2"/>
    <s v="Apparel"/>
    <x v="1"/>
    <s v="E. Khan"/>
    <n v="1"/>
    <n v="800"/>
    <n v="800"/>
  </r>
  <r>
    <x v="14"/>
    <x v="16"/>
    <x v="3"/>
    <x v="3"/>
    <s v="Electronics"/>
    <x v="3"/>
    <s v="C. Patel"/>
    <n v="3"/>
    <n v="45000"/>
    <n v="135000"/>
  </r>
  <r>
    <x v="15"/>
    <x v="17"/>
    <x v="1"/>
    <x v="1"/>
    <s v="Furniture"/>
    <x v="1"/>
    <s v="A. Sharma"/>
    <n v="3"/>
    <n v="3500"/>
    <n v="10500"/>
  </r>
  <r>
    <x v="13"/>
    <x v="18"/>
    <x v="0"/>
    <x v="0"/>
    <s v="Furniture"/>
    <x v="1"/>
    <s v="A. Sharma"/>
    <n v="4"/>
    <n v="5500"/>
    <n v="22000"/>
  </r>
  <r>
    <x v="16"/>
    <x v="19"/>
    <x v="5"/>
    <x v="5"/>
    <s v="Apparel"/>
    <x v="3"/>
    <s v="E. Khan"/>
    <n v="3"/>
    <n v="1300"/>
    <n v="3900"/>
  </r>
  <r>
    <x v="9"/>
    <x v="20"/>
    <x v="5"/>
    <x v="5"/>
    <s v="Apparel"/>
    <x v="1"/>
    <s v="C. Patel"/>
    <n v="1"/>
    <n v="1300"/>
    <n v="1300"/>
  </r>
  <r>
    <x v="6"/>
    <x v="21"/>
    <x v="3"/>
    <x v="3"/>
    <s v="Electronics"/>
    <x v="0"/>
    <s v="B. Singh"/>
    <n v="3"/>
    <n v="45000"/>
    <n v="135000"/>
  </r>
  <r>
    <x v="17"/>
    <x v="22"/>
    <x v="4"/>
    <x v="4"/>
    <s v="Electronics"/>
    <x v="2"/>
    <s v="D. Mehta"/>
    <n v="5"/>
    <n v="15000"/>
    <n v="75000"/>
  </r>
  <r>
    <x v="18"/>
    <x v="23"/>
    <x v="3"/>
    <x v="3"/>
    <s v="Electronics"/>
    <x v="3"/>
    <s v="E. Khan"/>
    <n v="4"/>
    <n v="45000"/>
    <n v="180000"/>
  </r>
  <r>
    <x v="19"/>
    <x v="24"/>
    <x v="2"/>
    <x v="2"/>
    <s v="Apparel"/>
    <x v="1"/>
    <s v="C. Patel"/>
    <n v="5"/>
    <n v="800"/>
    <n v="4000"/>
  </r>
  <r>
    <x v="20"/>
    <x v="25"/>
    <x v="1"/>
    <x v="1"/>
    <s v="Furniture"/>
    <x v="1"/>
    <s v="D. Mehta"/>
    <n v="2"/>
    <n v="3500"/>
    <n v="7000"/>
  </r>
  <r>
    <x v="21"/>
    <x v="26"/>
    <x v="0"/>
    <x v="0"/>
    <s v="Furniture"/>
    <x v="3"/>
    <s v="D. Mehta"/>
    <n v="4"/>
    <n v="5500"/>
    <n v="22000"/>
  </r>
  <r>
    <x v="22"/>
    <x v="27"/>
    <x v="4"/>
    <x v="4"/>
    <s v="Electronics"/>
    <x v="1"/>
    <s v="D. Mehta"/>
    <n v="1"/>
    <n v="15000"/>
    <n v="15000"/>
  </r>
  <r>
    <x v="23"/>
    <x v="28"/>
    <x v="3"/>
    <x v="3"/>
    <s v="Electronics"/>
    <x v="1"/>
    <s v="A. Sharma"/>
    <n v="4"/>
    <n v="45000"/>
    <n v="180000"/>
  </r>
  <r>
    <x v="24"/>
    <x v="29"/>
    <x v="5"/>
    <x v="5"/>
    <s v="Apparel"/>
    <x v="3"/>
    <s v="C. Patel"/>
    <n v="1"/>
    <n v="1300"/>
    <n v="1300"/>
  </r>
  <r>
    <x v="25"/>
    <x v="30"/>
    <x v="3"/>
    <x v="3"/>
    <s v="Electronics"/>
    <x v="1"/>
    <s v="B. Singh"/>
    <n v="4"/>
    <n v="45000"/>
    <n v="180000"/>
  </r>
  <r>
    <x v="4"/>
    <x v="31"/>
    <x v="5"/>
    <x v="5"/>
    <s v="Apparel"/>
    <x v="3"/>
    <s v="A. Sharma"/>
    <n v="4"/>
    <n v="1300"/>
    <n v="5200"/>
  </r>
  <r>
    <x v="26"/>
    <x v="32"/>
    <x v="3"/>
    <x v="3"/>
    <s v="Electronics"/>
    <x v="2"/>
    <s v="D. Mehta"/>
    <n v="4"/>
    <n v="45000"/>
    <n v="180000"/>
  </r>
  <r>
    <x v="27"/>
    <x v="33"/>
    <x v="4"/>
    <x v="4"/>
    <s v="Electronics"/>
    <x v="1"/>
    <s v="A. Sharma"/>
    <n v="5"/>
    <n v="15000"/>
    <n v="75000"/>
  </r>
  <r>
    <x v="28"/>
    <x v="34"/>
    <x v="1"/>
    <x v="1"/>
    <s v="Furniture"/>
    <x v="0"/>
    <s v="B. Singh"/>
    <n v="2"/>
    <n v="3500"/>
    <n v="7000"/>
  </r>
  <r>
    <x v="23"/>
    <x v="35"/>
    <x v="1"/>
    <x v="1"/>
    <s v="Furniture"/>
    <x v="2"/>
    <s v="B. Singh"/>
    <n v="5"/>
    <n v="3500"/>
    <n v="17500"/>
  </r>
  <r>
    <x v="29"/>
    <x v="36"/>
    <x v="5"/>
    <x v="5"/>
    <s v="Apparel"/>
    <x v="3"/>
    <s v="D. Mehta"/>
    <n v="3"/>
    <n v="1300"/>
    <n v="3900"/>
  </r>
  <r>
    <x v="30"/>
    <x v="37"/>
    <x v="5"/>
    <x v="5"/>
    <s v="Apparel"/>
    <x v="3"/>
    <s v="E. Khan"/>
    <n v="4"/>
    <n v="1300"/>
    <n v="5200"/>
  </r>
  <r>
    <x v="31"/>
    <x v="38"/>
    <x v="3"/>
    <x v="3"/>
    <s v="Electronics"/>
    <x v="0"/>
    <s v="D. Mehta"/>
    <n v="3"/>
    <n v="45000"/>
    <n v="135000"/>
  </r>
  <r>
    <x v="32"/>
    <x v="39"/>
    <x v="1"/>
    <x v="1"/>
    <s v="Furniture"/>
    <x v="3"/>
    <s v="D. Mehta"/>
    <n v="3"/>
    <n v="3500"/>
    <n v="10500"/>
  </r>
  <r>
    <x v="33"/>
    <x v="40"/>
    <x v="1"/>
    <x v="1"/>
    <s v="Furniture"/>
    <x v="1"/>
    <s v="C. Patel"/>
    <n v="4"/>
    <n v="3500"/>
    <n v="14000"/>
  </r>
  <r>
    <x v="34"/>
    <x v="41"/>
    <x v="3"/>
    <x v="3"/>
    <s v="Electronics"/>
    <x v="0"/>
    <s v="B. Singh"/>
    <n v="1"/>
    <n v="45000"/>
    <n v="45000"/>
  </r>
  <r>
    <x v="35"/>
    <x v="42"/>
    <x v="5"/>
    <x v="5"/>
    <s v="Apparel"/>
    <x v="2"/>
    <s v="C. Patel"/>
    <n v="4"/>
    <n v="1300"/>
    <n v="5200"/>
  </r>
  <r>
    <x v="33"/>
    <x v="43"/>
    <x v="3"/>
    <x v="3"/>
    <s v="Electronics"/>
    <x v="3"/>
    <s v="D. Mehta"/>
    <n v="1"/>
    <n v="45000"/>
    <n v="45000"/>
  </r>
  <r>
    <x v="23"/>
    <x v="44"/>
    <x v="5"/>
    <x v="5"/>
    <s v="Apparel"/>
    <x v="3"/>
    <s v="E. Khan"/>
    <n v="5"/>
    <n v="1300"/>
    <n v="6500"/>
  </r>
  <r>
    <x v="14"/>
    <x v="45"/>
    <x v="3"/>
    <x v="3"/>
    <s v="Electronics"/>
    <x v="1"/>
    <s v="C. Patel"/>
    <n v="3"/>
    <n v="45000"/>
    <n v="135000"/>
  </r>
  <r>
    <x v="36"/>
    <x v="46"/>
    <x v="5"/>
    <x v="5"/>
    <s v="Apparel"/>
    <x v="3"/>
    <s v="A. Sharma"/>
    <n v="4"/>
    <n v="1300"/>
    <n v="5200"/>
  </r>
  <r>
    <x v="37"/>
    <x v="47"/>
    <x v="5"/>
    <x v="5"/>
    <s v="Apparel"/>
    <x v="3"/>
    <s v="D. Mehta"/>
    <n v="3"/>
    <n v="1300"/>
    <n v="3900"/>
  </r>
  <r>
    <x v="38"/>
    <x v="48"/>
    <x v="3"/>
    <x v="3"/>
    <s v="Electronics"/>
    <x v="0"/>
    <s v="B. Singh"/>
    <n v="2"/>
    <n v="45000"/>
    <n v="90000"/>
  </r>
  <r>
    <x v="39"/>
    <x v="49"/>
    <x v="2"/>
    <x v="2"/>
    <s v="Apparel"/>
    <x v="0"/>
    <s v="D. Mehta"/>
    <n v="1"/>
    <n v="800"/>
    <n v="800"/>
  </r>
  <r>
    <x v="40"/>
    <x v="50"/>
    <x v="5"/>
    <x v="5"/>
    <s v="Apparel"/>
    <x v="0"/>
    <s v="D. Mehta"/>
    <n v="3"/>
    <n v="1300"/>
    <n v="3900"/>
  </r>
  <r>
    <x v="22"/>
    <x v="51"/>
    <x v="3"/>
    <x v="3"/>
    <s v="Electronics"/>
    <x v="3"/>
    <s v="D. Mehta"/>
    <n v="3"/>
    <n v="45000"/>
    <n v="135000"/>
  </r>
  <r>
    <x v="41"/>
    <x v="52"/>
    <x v="5"/>
    <x v="5"/>
    <s v="Apparel"/>
    <x v="2"/>
    <s v="E. Khan"/>
    <n v="3"/>
    <n v="1300"/>
    <n v="3900"/>
  </r>
  <r>
    <x v="42"/>
    <x v="53"/>
    <x v="1"/>
    <x v="1"/>
    <s v="Furniture"/>
    <x v="2"/>
    <s v="E. Khan"/>
    <n v="1"/>
    <n v="3500"/>
    <n v="3500"/>
  </r>
  <r>
    <x v="43"/>
    <x v="54"/>
    <x v="1"/>
    <x v="1"/>
    <s v="Furniture"/>
    <x v="3"/>
    <s v="C. Patel"/>
    <n v="1"/>
    <n v="3500"/>
    <n v="3500"/>
  </r>
  <r>
    <x v="44"/>
    <x v="55"/>
    <x v="0"/>
    <x v="0"/>
    <s v="Furniture"/>
    <x v="3"/>
    <s v="E. Khan"/>
    <n v="5"/>
    <n v="5500"/>
    <n v="27500"/>
  </r>
  <r>
    <x v="45"/>
    <x v="56"/>
    <x v="2"/>
    <x v="2"/>
    <s v="Apparel"/>
    <x v="0"/>
    <s v="E. Khan"/>
    <n v="3"/>
    <n v="800"/>
    <n v="2400"/>
  </r>
  <r>
    <x v="46"/>
    <x v="57"/>
    <x v="2"/>
    <x v="2"/>
    <s v="Apparel"/>
    <x v="0"/>
    <s v="A. Sharma"/>
    <n v="3"/>
    <n v="800"/>
    <n v="2400"/>
  </r>
  <r>
    <x v="47"/>
    <x v="58"/>
    <x v="3"/>
    <x v="3"/>
    <s v="Electronics"/>
    <x v="2"/>
    <s v="B. Singh"/>
    <n v="3"/>
    <n v="45000"/>
    <n v="135000"/>
  </r>
  <r>
    <x v="48"/>
    <x v="59"/>
    <x v="4"/>
    <x v="4"/>
    <s v="Electronics"/>
    <x v="3"/>
    <s v="B. Singh"/>
    <n v="3"/>
    <n v="15000"/>
    <n v="45000"/>
  </r>
  <r>
    <x v="44"/>
    <x v="60"/>
    <x v="3"/>
    <x v="3"/>
    <s v="Electronics"/>
    <x v="0"/>
    <s v="C. Patel"/>
    <n v="5"/>
    <n v="45000"/>
    <n v="225000"/>
  </r>
  <r>
    <x v="49"/>
    <x v="61"/>
    <x v="1"/>
    <x v="1"/>
    <s v="Furniture"/>
    <x v="2"/>
    <s v="A. Sharma"/>
    <n v="5"/>
    <n v="3500"/>
    <n v="17500"/>
  </r>
  <r>
    <x v="50"/>
    <x v="62"/>
    <x v="3"/>
    <x v="3"/>
    <s v="Electronics"/>
    <x v="3"/>
    <s v="E. Khan"/>
    <n v="4"/>
    <n v="45000"/>
    <n v="180000"/>
  </r>
  <r>
    <x v="51"/>
    <x v="63"/>
    <x v="5"/>
    <x v="5"/>
    <s v="Apparel"/>
    <x v="3"/>
    <s v="D. Mehta"/>
    <n v="3"/>
    <n v="1300"/>
    <n v="3900"/>
  </r>
  <r>
    <x v="52"/>
    <x v="64"/>
    <x v="0"/>
    <x v="0"/>
    <s v="Furniture"/>
    <x v="2"/>
    <s v="B. Singh"/>
    <n v="3"/>
    <n v="5500"/>
    <n v="16500"/>
  </r>
  <r>
    <x v="18"/>
    <x v="65"/>
    <x v="5"/>
    <x v="5"/>
    <s v="Apparel"/>
    <x v="0"/>
    <s v="B. Singh"/>
    <n v="2"/>
    <n v="1300"/>
    <n v="2600"/>
  </r>
  <r>
    <x v="53"/>
    <x v="66"/>
    <x v="0"/>
    <x v="0"/>
    <s v="Furniture"/>
    <x v="2"/>
    <s v="C. Patel"/>
    <n v="4"/>
    <n v="5500"/>
    <n v="22000"/>
  </r>
  <r>
    <x v="54"/>
    <x v="67"/>
    <x v="0"/>
    <x v="0"/>
    <s v="Furniture"/>
    <x v="3"/>
    <s v="E. Khan"/>
    <n v="4"/>
    <n v="5500"/>
    <n v="22000"/>
  </r>
  <r>
    <x v="55"/>
    <x v="68"/>
    <x v="0"/>
    <x v="0"/>
    <s v="Furniture"/>
    <x v="2"/>
    <s v="C. Patel"/>
    <n v="4"/>
    <n v="5500"/>
    <n v="22000"/>
  </r>
  <r>
    <x v="20"/>
    <x v="69"/>
    <x v="4"/>
    <x v="4"/>
    <s v="Electronics"/>
    <x v="3"/>
    <s v="B. Singh"/>
    <n v="3"/>
    <n v="15000"/>
    <n v="45000"/>
  </r>
  <r>
    <x v="56"/>
    <x v="70"/>
    <x v="1"/>
    <x v="1"/>
    <s v="Furniture"/>
    <x v="3"/>
    <s v="B. Singh"/>
    <n v="2"/>
    <n v="3500"/>
    <n v="7000"/>
  </r>
  <r>
    <x v="57"/>
    <x v="71"/>
    <x v="5"/>
    <x v="5"/>
    <s v="Apparel"/>
    <x v="1"/>
    <s v="A. Sharma"/>
    <n v="4"/>
    <n v="1300"/>
    <n v="5200"/>
  </r>
  <r>
    <x v="58"/>
    <x v="72"/>
    <x v="4"/>
    <x v="4"/>
    <s v="Electronics"/>
    <x v="0"/>
    <s v="B. Singh"/>
    <n v="1"/>
    <n v="15000"/>
    <n v="15000"/>
  </r>
  <r>
    <x v="57"/>
    <x v="73"/>
    <x v="3"/>
    <x v="3"/>
    <s v="Electronics"/>
    <x v="3"/>
    <s v="E. Khan"/>
    <n v="5"/>
    <n v="45000"/>
    <n v="225000"/>
  </r>
  <r>
    <x v="59"/>
    <x v="74"/>
    <x v="4"/>
    <x v="4"/>
    <s v="Electronics"/>
    <x v="3"/>
    <s v="C. Patel"/>
    <n v="5"/>
    <n v="15000"/>
    <n v="75000"/>
  </r>
  <r>
    <x v="60"/>
    <x v="75"/>
    <x v="5"/>
    <x v="5"/>
    <s v="Apparel"/>
    <x v="3"/>
    <s v="E. Khan"/>
    <n v="1"/>
    <n v="1300"/>
    <n v="1300"/>
  </r>
  <r>
    <x v="61"/>
    <x v="76"/>
    <x v="4"/>
    <x v="4"/>
    <s v="Electronics"/>
    <x v="2"/>
    <s v="E. Khan"/>
    <n v="4"/>
    <n v="15000"/>
    <n v="60000"/>
  </r>
  <r>
    <x v="62"/>
    <x v="77"/>
    <x v="4"/>
    <x v="4"/>
    <s v="Electronics"/>
    <x v="2"/>
    <s v="E. Khan"/>
    <n v="4"/>
    <n v="15000"/>
    <n v="60000"/>
  </r>
  <r>
    <x v="63"/>
    <x v="78"/>
    <x v="4"/>
    <x v="4"/>
    <s v="Electronics"/>
    <x v="2"/>
    <s v="C. Patel"/>
    <n v="2"/>
    <n v="15000"/>
    <n v="30000"/>
  </r>
  <r>
    <x v="64"/>
    <x v="79"/>
    <x v="4"/>
    <x v="4"/>
    <s v="Electronics"/>
    <x v="0"/>
    <s v="D. Mehta"/>
    <n v="3"/>
    <n v="15000"/>
    <n v="45000"/>
  </r>
  <r>
    <x v="36"/>
    <x v="80"/>
    <x v="0"/>
    <x v="0"/>
    <s v="Furniture"/>
    <x v="2"/>
    <s v="C. Patel"/>
    <n v="4"/>
    <n v="5500"/>
    <n v="22000"/>
  </r>
  <r>
    <x v="65"/>
    <x v="81"/>
    <x v="1"/>
    <x v="1"/>
    <s v="Furniture"/>
    <x v="0"/>
    <s v="D. Mehta"/>
    <n v="3"/>
    <n v="3500"/>
    <n v="10500"/>
  </r>
  <r>
    <x v="66"/>
    <x v="82"/>
    <x v="4"/>
    <x v="4"/>
    <s v="Electronics"/>
    <x v="1"/>
    <s v="D. Mehta"/>
    <n v="5"/>
    <n v="15000"/>
    <n v="75000"/>
  </r>
  <r>
    <x v="67"/>
    <x v="83"/>
    <x v="5"/>
    <x v="5"/>
    <s v="Apparel"/>
    <x v="2"/>
    <s v="E. Khan"/>
    <n v="3"/>
    <n v="1300"/>
    <n v="3900"/>
  </r>
  <r>
    <x v="68"/>
    <x v="84"/>
    <x v="3"/>
    <x v="3"/>
    <s v="Electronics"/>
    <x v="2"/>
    <s v="E. Khan"/>
    <n v="2"/>
    <n v="45000"/>
    <n v="90000"/>
  </r>
  <r>
    <x v="69"/>
    <x v="85"/>
    <x v="3"/>
    <x v="3"/>
    <s v="Electronics"/>
    <x v="1"/>
    <s v="D. Mehta"/>
    <n v="2"/>
    <n v="45000"/>
    <n v="90000"/>
  </r>
  <r>
    <x v="70"/>
    <x v="86"/>
    <x v="2"/>
    <x v="2"/>
    <s v="Apparel"/>
    <x v="1"/>
    <s v="E. Khan"/>
    <n v="4"/>
    <n v="800"/>
    <n v="3200"/>
  </r>
  <r>
    <x v="3"/>
    <x v="87"/>
    <x v="2"/>
    <x v="2"/>
    <s v="Apparel"/>
    <x v="0"/>
    <s v="D. Mehta"/>
    <n v="2"/>
    <n v="800"/>
    <n v="1600"/>
  </r>
  <r>
    <x v="36"/>
    <x v="88"/>
    <x v="1"/>
    <x v="1"/>
    <s v="Furniture"/>
    <x v="0"/>
    <s v="C. Patel"/>
    <n v="4"/>
    <n v="3500"/>
    <n v="14000"/>
  </r>
  <r>
    <x v="71"/>
    <x v="89"/>
    <x v="5"/>
    <x v="5"/>
    <s v="Apparel"/>
    <x v="3"/>
    <s v="E. Khan"/>
    <n v="4"/>
    <n v="1300"/>
    <n v="5200"/>
  </r>
  <r>
    <x v="20"/>
    <x v="90"/>
    <x v="3"/>
    <x v="3"/>
    <s v="Electronics"/>
    <x v="1"/>
    <s v="A. Sharma"/>
    <n v="1"/>
    <n v="45000"/>
    <n v="45000"/>
  </r>
  <r>
    <x v="72"/>
    <x v="91"/>
    <x v="3"/>
    <x v="3"/>
    <s v="Electronics"/>
    <x v="2"/>
    <s v="E. Khan"/>
    <n v="3"/>
    <n v="45000"/>
    <n v="135000"/>
  </r>
  <r>
    <x v="73"/>
    <x v="92"/>
    <x v="0"/>
    <x v="0"/>
    <s v="Furniture"/>
    <x v="3"/>
    <s v="E. Khan"/>
    <n v="1"/>
    <n v="5500"/>
    <n v="5500"/>
  </r>
  <r>
    <x v="59"/>
    <x v="93"/>
    <x v="3"/>
    <x v="3"/>
    <s v="Electronics"/>
    <x v="1"/>
    <s v="D. Mehta"/>
    <n v="4"/>
    <n v="45000"/>
    <n v="180000"/>
  </r>
  <r>
    <x v="74"/>
    <x v="94"/>
    <x v="2"/>
    <x v="2"/>
    <s v="Apparel"/>
    <x v="0"/>
    <s v="C. Patel"/>
    <n v="4"/>
    <n v="800"/>
    <n v="3200"/>
  </r>
  <r>
    <x v="63"/>
    <x v="95"/>
    <x v="1"/>
    <x v="1"/>
    <s v="Furniture"/>
    <x v="0"/>
    <s v="D. Mehta"/>
    <n v="5"/>
    <n v="3500"/>
    <n v="17500"/>
  </r>
  <r>
    <x v="75"/>
    <x v="96"/>
    <x v="2"/>
    <x v="2"/>
    <s v="Apparel"/>
    <x v="0"/>
    <s v="B. Singh"/>
    <n v="2"/>
    <n v="800"/>
    <n v="1600"/>
  </r>
  <r>
    <x v="1"/>
    <x v="97"/>
    <x v="2"/>
    <x v="2"/>
    <s v="Apparel"/>
    <x v="1"/>
    <s v="E. Khan"/>
    <n v="3"/>
    <n v="800"/>
    <n v="2400"/>
  </r>
  <r>
    <x v="10"/>
    <x v="98"/>
    <x v="0"/>
    <x v="0"/>
    <s v="Furniture"/>
    <x v="0"/>
    <s v="B. Singh"/>
    <n v="2"/>
    <n v="5500"/>
    <n v="11000"/>
  </r>
  <r>
    <x v="30"/>
    <x v="99"/>
    <x v="2"/>
    <x v="2"/>
    <s v="Apparel"/>
    <x v="2"/>
    <s v="E. Khan"/>
    <n v="2"/>
    <n v="800"/>
    <n v="1600"/>
  </r>
  <r>
    <x v="1"/>
    <x v="100"/>
    <x v="4"/>
    <x v="4"/>
    <s v="Electronics"/>
    <x v="0"/>
    <s v="E. Khan"/>
    <n v="5"/>
    <n v="15000"/>
    <n v="75000"/>
  </r>
  <r>
    <x v="76"/>
    <x v="101"/>
    <x v="2"/>
    <x v="2"/>
    <s v="Apparel"/>
    <x v="0"/>
    <s v="D. Mehta"/>
    <n v="1"/>
    <n v="800"/>
    <n v="800"/>
  </r>
  <r>
    <x v="77"/>
    <x v="102"/>
    <x v="3"/>
    <x v="3"/>
    <s v="Electronics"/>
    <x v="0"/>
    <s v="D. Mehta"/>
    <n v="4"/>
    <n v="45000"/>
    <n v="180000"/>
  </r>
  <r>
    <x v="78"/>
    <x v="103"/>
    <x v="1"/>
    <x v="1"/>
    <s v="Furniture"/>
    <x v="0"/>
    <s v="D. Mehta"/>
    <n v="3"/>
    <n v="3500"/>
    <n v="10500"/>
  </r>
  <r>
    <x v="33"/>
    <x v="104"/>
    <x v="1"/>
    <x v="1"/>
    <s v="Furniture"/>
    <x v="1"/>
    <s v="C. Patel"/>
    <n v="5"/>
    <n v="3500"/>
    <n v="17500"/>
  </r>
  <r>
    <x v="79"/>
    <x v="105"/>
    <x v="4"/>
    <x v="4"/>
    <s v="Electronics"/>
    <x v="3"/>
    <s v="D. Mehta"/>
    <n v="5"/>
    <n v="15000"/>
    <n v="75000"/>
  </r>
  <r>
    <x v="6"/>
    <x v="106"/>
    <x v="2"/>
    <x v="2"/>
    <s v="Apparel"/>
    <x v="3"/>
    <s v="A. Sharma"/>
    <n v="4"/>
    <n v="800"/>
    <n v="3200"/>
  </r>
  <r>
    <x v="80"/>
    <x v="107"/>
    <x v="3"/>
    <x v="3"/>
    <s v="Electronics"/>
    <x v="2"/>
    <s v="E. Khan"/>
    <n v="2"/>
    <n v="45000"/>
    <n v="90000"/>
  </r>
  <r>
    <x v="81"/>
    <x v="108"/>
    <x v="2"/>
    <x v="2"/>
    <s v="Apparel"/>
    <x v="0"/>
    <s v="E. Khan"/>
    <n v="5"/>
    <n v="800"/>
    <n v="4000"/>
  </r>
  <r>
    <x v="37"/>
    <x v="109"/>
    <x v="1"/>
    <x v="1"/>
    <s v="Furniture"/>
    <x v="1"/>
    <s v="D. Mehta"/>
    <n v="1"/>
    <n v="3500"/>
    <n v="3500"/>
  </r>
  <r>
    <x v="53"/>
    <x v="110"/>
    <x v="5"/>
    <x v="5"/>
    <s v="Apparel"/>
    <x v="1"/>
    <s v="A. Sharma"/>
    <n v="5"/>
    <n v="1300"/>
    <n v="6500"/>
  </r>
  <r>
    <x v="24"/>
    <x v="111"/>
    <x v="3"/>
    <x v="3"/>
    <s v="Electronics"/>
    <x v="1"/>
    <s v="D. Mehta"/>
    <n v="2"/>
    <n v="45000"/>
    <n v="90000"/>
  </r>
  <r>
    <x v="82"/>
    <x v="112"/>
    <x v="0"/>
    <x v="0"/>
    <s v="Furniture"/>
    <x v="3"/>
    <s v="D. Mehta"/>
    <n v="5"/>
    <n v="5500"/>
    <n v="27500"/>
  </r>
  <r>
    <x v="33"/>
    <x v="113"/>
    <x v="4"/>
    <x v="4"/>
    <s v="Electronics"/>
    <x v="3"/>
    <s v="B. Singh"/>
    <n v="4"/>
    <n v="15000"/>
    <n v="60000"/>
  </r>
  <r>
    <x v="13"/>
    <x v="114"/>
    <x v="0"/>
    <x v="0"/>
    <s v="Furniture"/>
    <x v="3"/>
    <s v="C. Patel"/>
    <n v="1"/>
    <n v="5500"/>
    <n v="5500"/>
  </r>
  <r>
    <x v="83"/>
    <x v="115"/>
    <x v="2"/>
    <x v="2"/>
    <s v="Apparel"/>
    <x v="3"/>
    <s v="E. Khan"/>
    <n v="4"/>
    <n v="800"/>
    <n v="3200"/>
  </r>
  <r>
    <x v="84"/>
    <x v="116"/>
    <x v="5"/>
    <x v="5"/>
    <s v="Apparel"/>
    <x v="1"/>
    <s v="E. Khan"/>
    <n v="2"/>
    <n v="1300"/>
    <n v="2600"/>
  </r>
  <r>
    <x v="85"/>
    <x v="117"/>
    <x v="3"/>
    <x v="3"/>
    <s v="Electronics"/>
    <x v="2"/>
    <s v="B. Singh"/>
    <n v="2"/>
    <n v="45000"/>
    <n v="90000"/>
  </r>
  <r>
    <x v="55"/>
    <x v="118"/>
    <x v="2"/>
    <x v="2"/>
    <s v="Apparel"/>
    <x v="1"/>
    <s v="A. Sharma"/>
    <n v="1"/>
    <n v="800"/>
    <n v="800"/>
  </r>
  <r>
    <x v="73"/>
    <x v="119"/>
    <x v="1"/>
    <x v="1"/>
    <s v="Furniture"/>
    <x v="0"/>
    <s v="B. Singh"/>
    <n v="1"/>
    <n v="3500"/>
    <n v="3500"/>
  </r>
  <r>
    <x v="4"/>
    <x v="120"/>
    <x v="1"/>
    <x v="1"/>
    <s v="Furniture"/>
    <x v="0"/>
    <s v="E. Khan"/>
    <n v="1"/>
    <n v="3500"/>
    <n v="3500"/>
  </r>
  <r>
    <x v="86"/>
    <x v="121"/>
    <x v="1"/>
    <x v="1"/>
    <s v="Furniture"/>
    <x v="1"/>
    <s v="A. Sharma"/>
    <n v="5"/>
    <n v="3500"/>
    <n v="17500"/>
  </r>
  <r>
    <x v="87"/>
    <x v="122"/>
    <x v="5"/>
    <x v="5"/>
    <s v="Apparel"/>
    <x v="3"/>
    <s v="A. Sharma"/>
    <n v="5"/>
    <n v="1300"/>
    <n v="6500"/>
  </r>
  <r>
    <x v="24"/>
    <x v="123"/>
    <x v="2"/>
    <x v="2"/>
    <s v="Apparel"/>
    <x v="1"/>
    <s v="E. Khan"/>
    <n v="5"/>
    <n v="800"/>
    <n v="4000"/>
  </r>
  <r>
    <x v="76"/>
    <x v="124"/>
    <x v="3"/>
    <x v="3"/>
    <s v="Electronics"/>
    <x v="0"/>
    <s v="A. Sharma"/>
    <n v="1"/>
    <n v="45000"/>
    <n v="45000"/>
  </r>
  <r>
    <x v="88"/>
    <x v="125"/>
    <x v="5"/>
    <x v="5"/>
    <s v="Apparel"/>
    <x v="0"/>
    <s v="A. Sharma"/>
    <n v="2"/>
    <n v="1300"/>
    <n v="2600"/>
  </r>
  <r>
    <x v="67"/>
    <x v="126"/>
    <x v="4"/>
    <x v="4"/>
    <s v="Electronics"/>
    <x v="2"/>
    <s v="B. Singh"/>
    <n v="3"/>
    <n v="15000"/>
    <n v="45000"/>
  </r>
  <r>
    <x v="89"/>
    <x v="127"/>
    <x v="0"/>
    <x v="0"/>
    <s v="Furniture"/>
    <x v="0"/>
    <s v="C. Patel"/>
    <n v="1"/>
    <n v="5500"/>
    <n v="5500"/>
  </r>
  <r>
    <x v="72"/>
    <x v="128"/>
    <x v="2"/>
    <x v="2"/>
    <s v="Apparel"/>
    <x v="0"/>
    <s v="B. Singh"/>
    <n v="3"/>
    <n v="800"/>
    <n v="2400"/>
  </r>
  <r>
    <x v="0"/>
    <x v="129"/>
    <x v="5"/>
    <x v="5"/>
    <s v="Apparel"/>
    <x v="3"/>
    <s v="D. Mehta"/>
    <n v="2"/>
    <n v="1300"/>
    <n v="2600"/>
  </r>
  <r>
    <x v="90"/>
    <x v="130"/>
    <x v="4"/>
    <x v="4"/>
    <s v="Electronics"/>
    <x v="2"/>
    <s v="C. Patel"/>
    <n v="3"/>
    <n v="15000"/>
    <n v="45000"/>
  </r>
  <r>
    <x v="91"/>
    <x v="131"/>
    <x v="3"/>
    <x v="3"/>
    <s v="Electronics"/>
    <x v="3"/>
    <s v="D. Mehta"/>
    <n v="2"/>
    <n v="45000"/>
    <n v="90000"/>
  </r>
  <r>
    <x v="28"/>
    <x v="132"/>
    <x v="2"/>
    <x v="2"/>
    <s v="Apparel"/>
    <x v="0"/>
    <s v="D. Mehta"/>
    <n v="2"/>
    <n v="800"/>
    <n v="1600"/>
  </r>
  <r>
    <x v="30"/>
    <x v="133"/>
    <x v="4"/>
    <x v="4"/>
    <s v="Electronics"/>
    <x v="0"/>
    <s v="D. Mehta"/>
    <n v="4"/>
    <n v="15000"/>
    <n v="60000"/>
  </r>
  <r>
    <x v="92"/>
    <x v="134"/>
    <x v="5"/>
    <x v="5"/>
    <s v="Apparel"/>
    <x v="0"/>
    <s v="B. Singh"/>
    <n v="5"/>
    <n v="1300"/>
    <n v="6500"/>
  </r>
  <r>
    <x v="93"/>
    <x v="135"/>
    <x v="1"/>
    <x v="1"/>
    <s v="Furniture"/>
    <x v="1"/>
    <s v="A. Sharma"/>
    <n v="3"/>
    <n v="3500"/>
    <n v="10500"/>
  </r>
  <r>
    <x v="51"/>
    <x v="136"/>
    <x v="0"/>
    <x v="0"/>
    <s v="Furniture"/>
    <x v="3"/>
    <s v="D. Mehta"/>
    <n v="1"/>
    <n v="5500"/>
    <n v="5500"/>
  </r>
  <r>
    <x v="94"/>
    <x v="137"/>
    <x v="2"/>
    <x v="2"/>
    <s v="Apparel"/>
    <x v="3"/>
    <s v="B. Singh"/>
    <n v="5"/>
    <n v="800"/>
    <n v="4000"/>
  </r>
  <r>
    <x v="95"/>
    <x v="138"/>
    <x v="1"/>
    <x v="1"/>
    <s v="Furniture"/>
    <x v="0"/>
    <s v="E. Khan"/>
    <n v="2"/>
    <n v="3500"/>
    <n v="7000"/>
  </r>
  <r>
    <x v="43"/>
    <x v="139"/>
    <x v="5"/>
    <x v="5"/>
    <s v="Apparel"/>
    <x v="0"/>
    <s v="A. Sharma"/>
    <n v="5"/>
    <n v="1300"/>
    <n v="6500"/>
  </r>
  <r>
    <x v="96"/>
    <x v="140"/>
    <x v="4"/>
    <x v="4"/>
    <s v="Electronics"/>
    <x v="2"/>
    <s v="B. Singh"/>
    <n v="1"/>
    <n v="15000"/>
    <n v="15000"/>
  </r>
  <r>
    <x v="49"/>
    <x v="141"/>
    <x v="3"/>
    <x v="3"/>
    <s v="Electronics"/>
    <x v="1"/>
    <s v="A. Sharma"/>
    <n v="3"/>
    <n v="45000"/>
    <n v="135000"/>
  </r>
  <r>
    <x v="16"/>
    <x v="142"/>
    <x v="2"/>
    <x v="2"/>
    <s v="Apparel"/>
    <x v="0"/>
    <s v="B. Singh"/>
    <n v="4"/>
    <n v="800"/>
    <n v="3200"/>
  </r>
  <r>
    <x v="63"/>
    <x v="143"/>
    <x v="5"/>
    <x v="5"/>
    <s v="Apparel"/>
    <x v="2"/>
    <s v="B. Singh"/>
    <n v="4"/>
    <n v="1300"/>
    <n v="5200"/>
  </r>
  <r>
    <x v="97"/>
    <x v="144"/>
    <x v="4"/>
    <x v="4"/>
    <s v="Electronics"/>
    <x v="0"/>
    <s v="B. Singh"/>
    <n v="3"/>
    <n v="15000"/>
    <n v="45000"/>
  </r>
  <r>
    <x v="24"/>
    <x v="145"/>
    <x v="5"/>
    <x v="5"/>
    <s v="Apparel"/>
    <x v="1"/>
    <s v="D. Mehta"/>
    <n v="5"/>
    <n v="1300"/>
    <n v="6500"/>
  </r>
  <r>
    <x v="98"/>
    <x v="103"/>
    <x v="1"/>
    <x v="1"/>
    <s v="Furniture"/>
    <x v="1"/>
    <s v="A. Sharma"/>
    <n v="5"/>
    <n v="3500"/>
    <n v="17500"/>
  </r>
  <r>
    <x v="27"/>
    <x v="146"/>
    <x v="3"/>
    <x v="3"/>
    <s v="Electronics"/>
    <x v="0"/>
    <s v="B. Singh"/>
    <n v="4"/>
    <n v="45000"/>
    <n v="180000"/>
  </r>
  <r>
    <x v="30"/>
    <x v="147"/>
    <x v="2"/>
    <x v="2"/>
    <s v="Apparel"/>
    <x v="3"/>
    <s v="A. Sharma"/>
    <n v="4"/>
    <n v="800"/>
    <n v="3200"/>
  </r>
  <r>
    <x v="99"/>
    <x v="148"/>
    <x v="3"/>
    <x v="3"/>
    <s v="Electronics"/>
    <x v="0"/>
    <s v="B. Singh"/>
    <n v="4"/>
    <n v="45000"/>
    <n v="1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05A2E2-F557-429E-9BB5-DEE82DDA1AD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B6" firstHeaderRow="1" firstDataRow="1" firstDataCol="1"/>
  <pivotFields count="12">
    <pivotField numFmtId="164" showAll="0">
      <items count="101">
        <item x="24"/>
        <item x="88"/>
        <item x="51"/>
        <item x="14"/>
        <item x="96"/>
        <item x="20"/>
        <item x="11"/>
        <item x="17"/>
        <item x="64"/>
        <item x="44"/>
        <item x="47"/>
        <item x="3"/>
        <item x="45"/>
        <item x="49"/>
        <item x="42"/>
        <item x="21"/>
        <item x="60"/>
        <item x="40"/>
        <item x="92"/>
        <item x="68"/>
        <item x="98"/>
        <item x="27"/>
        <item x="12"/>
        <item x="13"/>
        <item x="93"/>
        <item x="85"/>
        <item x="16"/>
        <item x="53"/>
        <item x="90"/>
        <item x="95"/>
        <item x="34"/>
        <item x="8"/>
        <item x="89"/>
        <item x="87"/>
        <item x="80"/>
        <item x="75"/>
        <item x="58"/>
        <item x="4"/>
        <item x="54"/>
        <item x="43"/>
        <item x="26"/>
        <item x="18"/>
        <item x="99"/>
        <item x="77"/>
        <item x="59"/>
        <item x="97"/>
        <item x="28"/>
        <item x="76"/>
        <item x="33"/>
        <item x="32"/>
        <item x="67"/>
        <item x="71"/>
        <item x="38"/>
        <item x="62"/>
        <item x="82"/>
        <item x="0"/>
        <item x="9"/>
        <item x="86"/>
        <item x="55"/>
        <item x="74"/>
        <item x="72"/>
        <item x="70"/>
        <item x="69"/>
        <item x="46"/>
        <item x="57"/>
        <item x="41"/>
        <item x="56"/>
        <item x="1"/>
        <item x="79"/>
        <item x="22"/>
        <item x="23"/>
        <item x="6"/>
        <item x="7"/>
        <item x="50"/>
        <item x="15"/>
        <item x="31"/>
        <item x="84"/>
        <item x="52"/>
        <item x="61"/>
        <item x="30"/>
        <item x="10"/>
        <item x="2"/>
        <item x="19"/>
        <item x="36"/>
        <item x="94"/>
        <item x="78"/>
        <item x="29"/>
        <item x="83"/>
        <item x="39"/>
        <item x="37"/>
        <item x="25"/>
        <item x="91"/>
        <item x="66"/>
        <item x="81"/>
        <item x="48"/>
        <item x="5"/>
        <item x="73"/>
        <item x="35"/>
        <item x="65"/>
        <item x="63"/>
        <item t="default"/>
      </items>
    </pivotField>
    <pivotField showAll="0"/>
    <pivotField showAll="0"/>
    <pivotField showAll="0">
      <items count="7">
        <item x="5"/>
        <item x="3"/>
        <item x="4"/>
        <item x="1"/>
        <item x="0"/>
        <item x="2"/>
        <item t="default"/>
      </items>
    </pivotField>
    <pivotField showAll="0"/>
    <pivotField axis="axisRow" showAll="0">
      <items count="5">
        <item x="1"/>
        <item x="0"/>
        <item x="2"/>
        <item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Total_Sales" fld="9" baseField="0" baseItem="0"/>
  </dataFields>
  <chartFormats count="2">
    <chartFormat chart="15"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38B00-31E2-40F5-94C3-85BE5E25654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12">
    <pivotField numFmtId="164" showAll="0">
      <items count="101">
        <item x="24"/>
        <item x="88"/>
        <item x="51"/>
        <item x="14"/>
        <item x="96"/>
        <item x="20"/>
        <item x="11"/>
        <item x="17"/>
        <item x="64"/>
        <item x="44"/>
        <item x="47"/>
        <item x="3"/>
        <item x="45"/>
        <item x="49"/>
        <item x="42"/>
        <item x="21"/>
        <item x="60"/>
        <item x="40"/>
        <item x="92"/>
        <item x="68"/>
        <item x="98"/>
        <item x="27"/>
        <item x="12"/>
        <item x="13"/>
        <item x="93"/>
        <item x="85"/>
        <item x="16"/>
        <item x="53"/>
        <item x="90"/>
        <item x="95"/>
        <item x="34"/>
        <item x="8"/>
        <item x="89"/>
        <item x="87"/>
        <item x="80"/>
        <item x="75"/>
        <item x="58"/>
        <item x="4"/>
        <item x="54"/>
        <item x="43"/>
        <item x="26"/>
        <item x="18"/>
        <item x="99"/>
        <item x="77"/>
        <item x="59"/>
        <item x="97"/>
        <item x="28"/>
        <item x="76"/>
        <item x="33"/>
        <item x="32"/>
        <item x="67"/>
        <item x="71"/>
        <item x="38"/>
        <item x="62"/>
        <item x="82"/>
        <item x="0"/>
        <item x="9"/>
        <item x="86"/>
        <item x="55"/>
        <item x="74"/>
        <item x="72"/>
        <item x="70"/>
        <item x="69"/>
        <item x="46"/>
        <item x="57"/>
        <item x="41"/>
        <item x="56"/>
        <item x="1"/>
        <item x="79"/>
        <item x="22"/>
        <item x="23"/>
        <item x="6"/>
        <item x="7"/>
        <item x="50"/>
        <item x="15"/>
        <item x="31"/>
        <item x="84"/>
        <item x="52"/>
        <item x="61"/>
        <item x="30"/>
        <item x="10"/>
        <item x="2"/>
        <item x="19"/>
        <item x="36"/>
        <item x="94"/>
        <item x="78"/>
        <item x="29"/>
        <item x="83"/>
        <item x="39"/>
        <item x="37"/>
        <item x="25"/>
        <item x="91"/>
        <item x="66"/>
        <item x="81"/>
        <item x="48"/>
        <item x="5"/>
        <item x="73"/>
        <item x="35"/>
        <item x="65"/>
        <item x="63"/>
        <item t="default"/>
      </items>
    </pivotField>
    <pivotField showAll="0">
      <items count="150">
        <item x="4"/>
        <item x="84"/>
        <item x="30"/>
        <item x="56"/>
        <item x="86"/>
        <item x="8"/>
        <item x="79"/>
        <item x="34"/>
        <item x="13"/>
        <item x="115"/>
        <item x="11"/>
        <item x="24"/>
        <item x="55"/>
        <item x="95"/>
        <item x="142"/>
        <item x="130"/>
        <item x="59"/>
        <item x="5"/>
        <item x="9"/>
        <item x="120"/>
        <item x="46"/>
        <item x="71"/>
        <item x="35"/>
        <item x="23"/>
        <item x="41"/>
        <item x="136"/>
        <item x="58"/>
        <item x="43"/>
        <item x="75"/>
        <item x="118"/>
        <item x="62"/>
        <item x="38"/>
        <item x="98"/>
        <item x="47"/>
        <item x="25"/>
        <item x="19"/>
        <item x="77"/>
        <item x="48"/>
        <item x="141"/>
        <item x="40"/>
        <item x="105"/>
        <item x="18"/>
        <item x="66"/>
        <item x="102"/>
        <item x="145"/>
        <item x="125"/>
        <item x="89"/>
        <item x="32"/>
        <item x="107"/>
        <item x="33"/>
        <item x="64"/>
        <item x="119"/>
        <item x="80"/>
        <item x="82"/>
        <item x="133"/>
        <item x="148"/>
        <item x="36"/>
        <item x="126"/>
        <item x="29"/>
        <item x="21"/>
        <item x="50"/>
        <item x="45"/>
        <item x="128"/>
        <item x="78"/>
        <item x="146"/>
        <item x="104"/>
        <item x="69"/>
        <item x="138"/>
        <item x="124"/>
        <item x="123"/>
        <item x="67"/>
        <item x="93"/>
        <item x="113"/>
        <item x="111"/>
        <item x="88"/>
        <item x="144"/>
        <item x="31"/>
        <item x="2"/>
        <item x="114"/>
        <item x="108"/>
        <item x="6"/>
        <item x="26"/>
        <item x="81"/>
        <item x="100"/>
        <item x="49"/>
        <item x="0"/>
        <item x="60"/>
        <item x="28"/>
        <item x="17"/>
        <item x="52"/>
        <item x="87"/>
        <item x="122"/>
        <item x="135"/>
        <item x="109"/>
        <item x="134"/>
        <item x="42"/>
        <item x="132"/>
        <item x="139"/>
        <item x="96"/>
        <item x="127"/>
        <item x="39"/>
        <item x="63"/>
        <item x="16"/>
        <item x="137"/>
        <item x="68"/>
        <item x="112"/>
        <item x="99"/>
        <item x="129"/>
        <item x="61"/>
        <item x="73"/>
        <item x="53"/>
        <item x="116"/>
        <item x="44"/>
        <item x="91"/>
        <item x="94"/>
        <item x="140"/>
        <item x="74"/>
        <item x="27"/>
        <item x="72"/>
        <item x="117"/>
        <item x="76"/>
        <item x="65"/>
        <item x="7"/>
        <item x="147"/>
        <item x="106"/>
        <item x="85"/>
        <item x="54"/>
        <item x="131"/>
        <item x="37"/>
        <item x="22"/>
        <item x="12"/>
        <item x="10"/>
        <item x="15"/>
        <item x="97"/>
        <item x="51"/>
        <item x="110"/>
        <item x="92"/>
        <item x="20"/>
        <item x="143"/>
        <item x="121"/>
        <item x="57"/>
        <item x="1"/>
        <item x="14"/>
        <item x="3"/>
        <item x="101"/>
        <item x="90"/>
        <item x="103"/>
        <item x="70"/>
        <item x="83"/>
        <item t="default"/>
      </items>
    </pivotField>
    <pivotField showAll="0">
      <items count="7">
        <item x="3"/>
        <item x="4"/>
        <item x="1"/>
        <item x="0"/>
        <item x="2"/>
        <item x="5"/>
        <item t="default"/>
      </items>
    </pivotField>
    <pivotField axis="axisRow" showAll="0">
      <items count="7">
        <item x="5"/>
        <item x="3"/>
        <item x="4"/>
        <item x="1"/>
        <item x="0"/>
        <item x="2"/>
        <item t="default"/>
      </items>
    </pivotField>
    <pivotField showAll="0"/>
    <pivotField showAll="0">
      <items count="5">
        <item x="1"/>
        <item x="0"/>
        <item x="2"/>
        <item x="3"/>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Total_Sales" fld="9"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12414-3FF7-469F-9A48-64E1092E801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12">
    <pivotField numFmtId="164" showAll="0">
      <items count="101">
        <item x="24"/>
        <item x="88"/>
        <item x="51"/>
        <item x="14"/>
        <item x="96"/>
        <item x="20"/>
        <item x="11"/>
        <item x="17"/>
        <item x="64"/>
        <item x="44"/>
        <item x="47"/>
        <item x="3"/>
        <item x="45"/>
        <item x="49"/>
        <item x="42"/>
        <item x="21"/>
        <item x="60"/>
        <item x="40"/>
        <item x="92"/>
        <item x="68"/>
        <item x="98"/>
        <item x="27"/>
        <item x="12"/>
        <item x="13"/>
        <item x="93"/>
        <item x="85"/>
        <item x="16"/>
        <item x="53"/>
        <item x="90"/>
        <item x="95"/>
        <item x="34"/>
        <item x="8"/>
        <item x="89"/>
        <item x="87"/>
        <item x="80"/>
        <item x="75"/>
        <item x="58"/>
        <item x="4"/>
        <item x="54"/>
        <item x="43"/>
        <item x="26"/>
        <item x="18"/>
        <item x="99"/>
        <item x="77"/>
        <item x="59"/>
        <item x="97"/>
        <item x="28"/>
        <item x="76"/>
        <item x="33"/>
        <item x="32"/>
        <item x="67"/>
        <item x="71"/>
        <item x="38"/>
        <item x="62"/>
        <item x="82"/>
        <item x="0"/>
        <item x="9"/>
        <item x="86"/>
        <item x="55"/>
        <item x="74"/>
        <item x="72"/>
        <item x="70"/>
        <item x="69"/>
        <item x="46"/>
        <item x="57"/>
        <item x="41"/>
        <item x="56"/>
        <item x="1"/>
        <item x="79"/>
        <item x="22"/>
        <item x="23"/>
        <item x="6"/>
        <item x="7"/>
        <item x="50"/>
        <item x="15"/>
        <item x="31"/>
        <item x="84"/>
        <item x="52"/>
        <item x="61"/>
        <item x="30"/>
        <item x="10"/>
        <item x="2"/>
        <item x="19"/>
        <item x="36"/>
        <item x="94"/>
        <item x="78"/>
        <item x="29"/>
        <item x="83"/>
        <item x="39"/>
        <item x="37"/>
        <item x="25"/>
        <item x="91"/>
        <item x="66"/>
        <item x="81"/>
        <item x="48"/>
        <item x="5"/>
        <item x="73"/>
        <item x="35"/>
        <item x="65"/>
        <item x="63"/>
        <item t="default"/>
      </items>
    </pivotField>
    <pivotField showAll="0"/>
    <pivotField showAll="0"/>
    <pivotField axis="axisRow" showAll="0">
      <items count="7">
        <item x="5"/>
        <item x="3"/>
        <item x="4"/>
        <item x="1"/>
        <item x="0"/>
        <item x="2"/>
        <item t="default"/>
      </items>
    </pivotField>
    <pivotField showAll="0"/>
    <pivotField showAll="0">
      <items count="5">
        <item x="1"/>
        <item x="0"/>
        <item x="2"/>
        <item x="3"/>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7">
    <i>
      <x/>
    </i>
    <i>
      <x v="1"/>
    </i>
    <i>
      <x v="2"/>
    </i>
    <i>
      <x v="3"/>
    </i>
    <i>
      <x v="4"/>
    </i>
    <i>
      <x v="5"/>
    </i>
    <i t="grand">
      <x/>
    </i>
  </rowItems>
  <colItems count="1">
    <i/>
  </colItems>
  <dataFields count="1">
    <dataField name="Sum of Total_Sales" fld="9" baseField="0" baseItem="0"/>
  </dataFields>
  <formats count="8">
    <format dxfId="41">
      <pivotArea type="all" dataOnly="0" outline="0" fieldPosition="0"/>
    </format>
    <format dxfId="40">
      <pivotArea outline="0" collapsedLevelsAreSubtotals="1" fieldPosition="0"/>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grandRow="1" outline="0" fieldPosition="0"/>
    </format>
    <format dxfId="34">
      <pivotArea dataOnly="0" labelOnly="1" outline="0" axis="axisValues" fieldPosition="0"/>
    </format>
  </formats>
  <chartFormats count="16">
    <chartFormat chart="1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10" format="5">
      <pivotArea type="data" outline="0" fieldPosition="0">
        <references count="2">
          <reference field="4294967294" count="1" selected="0">
            <x v="0"/>
          </reference>
          <reference field="3" count="1" selected="0">
            <x v="4"/>
          </reference>
        </references>
      </pivotArea>
    </chartFormat>
    <chartFormat chart="10" format="6">
      <pivotArea type="data" outline="0" fieldPosition="0">
        <references count="2">
          <reference field="4294967294" count="1" selected="0">
            <x v="0"/>
          </reference>
          <reference field="3" count="1" selected="0">
            <x v="5"/>
          </reference>
        </references>
      </pivotArea>
    </chartFormat>
    <chartFormat chart="17" format="15">
      <pivotArea type="data" outline="0" fieldPosition="0">
        <references count="2">
          <reference field="4294967294" count="1" selected="0">
            <x v="0"/>
          </reference>
          <reference field="3" count="1" selected="0">
            <x v="0"/>
          </reference>
        </references>
      </pivotArea>
    </chartFormat>
    <chartFormat chart="17" format="16">
      <pivotArea type="data" outline="0" fieldPosition="0">
        <references count="2">
          <reference field="4294967294" count="1" selected="0">
            <x v="0"/>
          </reference>
          <reference field="3" count="1" selected="0">
            <x v="1"/>
          </reference>
        </references>
      </pivotArea>
    </chartFormat>
    <chartFormat chart="17" format="17">
      <pivotArea type="data" outline="0" fieldPosition="0">
        <references count="2">
          <reference field="4294967294" count="1" selected="0">
            <x v="0"/>
          </reference>
          <reference field="3" count="1" selected="0">
            <x v="2"/>
          </reference>
        </references>
      </pivotArea>
    </chartFormat>
    <chartFormat chart="17" format="18">
      <pivotArea type="data" outline="0" fieldPosition="0">
        <references count="2">
          <reference field="4294967294" count="1" selected="0">
            <x v="0"/>
          </reference>
          <reference field="3" count="1" selected="0">
            <x v="3"/>
          </reference>
        </references>
      </pivotArea>
    </chartFormat>
    <chartFormat chart="17" format="19">
      <pivotArea type="data" outline="0" fieldPosition="0">
        <references count="2">
          <reference field="4294967294" count="1" selected="0">
            <x v="0"/>
          </reference>
          <reference field="3" count="1" selected="0">
            <x v="4"/>
          </reference>
        </references>
      </pivotArea>
    </chartFormat>
    <chartFormat chart="17" format="20">
      <pivotArea type="data" outline="0" fieldPosition="0">
        <references count="2">
          <reference field="4294967294" count="1" selected="0">
            <x v="0"/>
          </reference>
          <reference field="3" count="1" selected="0">
            <x v="5"/>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1CC30-459C-4F05-ABBB-A7EDD259442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2">
    <pivotField numFmtId="164" showAll="0">
      <items count="101">
        <item x="24"/>
        <item x="88"/>
        <item x="51"/>
        <item x="14"/>
        <item x="96"/>
        <item x="20"/>
        <item x="11"/>
        <item x="17"/>
        <item x="64"/>
        <item x="44"/>
        <item x="47"/>
        <item x="3"/>
        <item x="45"/>
        <item x="49"/>
        <item x="42"/>
        <item x="21"/>
        <item x="60"/>
        <item x="40"/>
        <item x="92"/>
        <item x="68"/>
        <item x="98"/>
        <item x="27"/>
        <item x="12"/>
        <item x="13"/>
        <item x="93"/>
        <item x="85"/>
        <item x="16"/>
        <item x="53"/>
        <item x="90"/>
        <item x="95"/>
        <item x="34"/>
        <item x="8"/>
        <item x="89"/>
        <item x="87"/>
        <item x="80"/>
        <item x="75"/>
        <item x="58"/>
        <item x="4"/>
        <item x="54"/>
        <item x="43"/>
        <item x="26"/>
        <item x="18"/>
        <item x="99"/>
        <item x="77"/>
        <item x="59"/>
        <item x="97"/>
        <item x="28"/>
        <item x="76"/>
        <item x="33"/>
        <item x="32"/>
        <item x="67"/>
        <item x="71"/>
        <item x="38"/>
        <item x="62"/>
        <item x="82"/>
        <item x="0"/>
        <item x="9"/>
        <item x="86"/>
        <item x="55"/>
        <item x="74"/>
        <item x="72"/>
        <item x="70"/>
        <item x="69"/>
        <item x="46"/>
        <item x="57"/>
        <item x="41"/>
        <item x="56"/>
        <item x="1"/>
        <item x="79"/>
        <item x="22"/>
        <item x="23"/>
        <item x="6"/>
        <item x="7"/>
        <item x="50"/>
        <item x="15"/>
        <item x="31"/>
        <item x="84"/>
        <item x="52"/>
        <item x="61"/>
        <item x="30"/>
        <item x="10"/>
        <item x="2"/>
        <item x="19"/>
        <item x="36"/>
        <item x="94"/>
        <item x="78"/>
        <item x="29"/>
        <item x="83"/>
        <item x="39"/>
        <item x="37"/>
        <item x="25"/>
        <item x="91"/>
        <item x="66"/>
        <item x="81"/>
        <item x="48"/>
        <item x="5"/>
        <item x="73"/>
        <item x="35"/>
        <item x="65"/>
        <item x="63"/>
        <item t="default"/>
      </items>
    </pivotField>
    <pivotField showAll="0"/>
    <pivotField showAll="0"/>
    <pivotField showAll="0">
      <items count="7">
        <item x="5"/>
        <item x="3"/>
        <item x="4"/>
        <item x="1"/>
        <item x="0"/>
        <item x="2"/>
        <item t="default"/>
      </items>
    </pivotField>
    <pivotField showAll="0"/>
    <pivotField showAll="0">
      <items count="5">
        <item x="1"/>
        <item x="0"/>
        <item x="2"/>
        <item x="3"/>
        <item t="default"/>
      </items>
    </pivotField>
    <pivotField showAll="0"/>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1"/>
  </rowFields>
  <rowItems count="7">
    <i>
      <x v="1"/>
    </i>
    <i>
      <x v="2"/>
    </i>
    <i>
      <x v="3"/>
    </i>
    <i>
      <x v="4"/>
    </i>
    <i>
      <x v="5"/>
    </i>
    <i>
      <x v="6"/>
    </i>
    <i t="grand">
      <x/>
    </i>
  </rowItems>
  <colItems count="1">
    <i/>
  </colItems>
  <dataFields count="1">
    <dataField name="Sum of Total_Sales" fld="9" baseField="0" baseItem="0"/>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27BC16-767B-4F61-9961-3BE74538731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8" firstHeaderRow="1" firstDataRow="1" firstDataCol="1"/>
  <pivotFields count="12">
    <pivotField numFmtId="164" showAll="0">
      <items count="101">
        <item x="24"/>
        <item x="88"/>
        <item x="51"/>
        <item x="14"/>
        <item x="96"/>
        <item x="20"/>
        <item x="11"/>
        <item x="17"/>
        <item x="64"/>
        <item x="44"/>
        <item x="47"/>
        <item x="3"/>
        <item x="45"/>
        <item x="49"/>
        <item x="42"/>
        <item x="21"/>
        <item x="60"/>
        <item x="40"/>
        <item x="92"/>
        <item x="68"/>
        <item x="98"/>
        <item x="27"/>
        <item x="12"/>
        <item x="13"/>
        <item x="93"/>
        <item x="85"/>
        <item x="16"/>
        <item x="53"/>
        <item x="90"/>
        <item x="95"/>
        <item x="34"/>
        <item x="8"/>
        <item x="89"/>
        <item x="87"/>
        <item x="80"/>
        <item x="75"/>
        <item x="58"/>
        <item x="4"/>
        <item x="54"/>
        <item x="43"/>
        <item x="26"/>
        <item x="18"/>
        <item x="99"/>
        <item x="77"/>
        <item x="59"/>
        <item x="97"/>
        <item x="28"/>
        <item x="76"/>
        <item x="33"/>
        <item x="32"/>
        <item x="67"/>
        <item x="71"/>
        <item x="38"/>
        <item x="62"/>
        <item x="82"/>
        <item x="0"/>
        <item x="9"/>
        <item x="86"/>
        <item x="55"/>
        <item x="74"/>
        <item x="72"/>
        <item x="70"/>
        <item x="69"/>
        <item x="46"/>
        <item x="57"/>
        <item x="41"/>
        <item x="56"/>
        <item x="1"/>
        <item x="79"/>
        <item x="22"/>
        <item x="23"/>
        <item x="6"/>
        <item x="7"/>
        <item x="50"/>
        <item x="15"/>
        <item x="31"/>
        <item x="84"/>
        <item x="52"/>
        <item x="61"/>
        <item x="30"/>
        <item x="10"/>
        <item x="2"/>
        <item x="19"/>
        <item x="36"/>
        <item x="94"/>
        <item x="78"/>
        <item x="29"/>
        <item x="83"/>
        <item x="39"/>
        <item x="37"/>
        <item x="25"/>
        <item x="91"/>
        <item x="66"/>
        <item x="81"/>
        <item x="48"/>
        <item x="5"/>
        <item x="73"/>
        <item x="35"/>
        <item x="65"/>
        <item x="63"/>
        <item t="default"/>
      </items>
    </pivotField>
    <pivotField showAll="0"/>
    <pivotField axis="axisRow" showAll="0">
      <items count="7">
        <item x="3"/>
        <item x="4"/>
        <item x="1"/>
        <item x="0"/>
        <item x="2"/>
        <item x="5"/>
        <item t="default"/>
      </items>
    </pivotField>
    <pivotField showAll="0">
      <items count="7">
        <item x="5"/>
        <item x="3"/>
        <item x="4"/>
        <item x="1"/>
        <item x="0"/>
        <item x="2"/>
        <item t="default"/>
      </items>
    </pivotField>
    <pivotField showAll="0"/>
    <pivotField showAll="0">
      <items count="5">
        <item x="1"/>
        <item x="0"/>
        <item x="2"/>
        <item x="3"/>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5A00A2-7ECA-4D34-90BE-B9342BD1E618}" sourceName="Region">
  <pivotTables>
    <pivotTable tabId="5" name="PivotTable1"/>
    <pivotTable tabId="2" name="PivotTable1"/>
    <pivotTable tabId="6" name="PivotTable3"/>
    <pivotTable tabId="8" name="PivotTable4"/>
    <pivotTable tabId="11" name="PivotTable1"/>
  </pivotTables>
  <data>
    <tabular pivotCacheId="76408780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B52EDDF-E6E7-49A5-B0AA-0821B6626197}" sourceName="Months (Date)">
  <pivotTables>
    <pivotTable tabId="5" name="PivotTable1"/>
    <pivotTable tabId="2" name="PivotTable1"/>
    <pivotTable tabId="6" name="PivotTable3"/>
    <pivotTable tabId="8" name="PivotTable4"/>
    <pivotTable tabId="11" name="PivotTable1"/>
  </pivotTables>
  <data>
    <tabular pivotCacheId="764087808">
      <items count="14">
        <i x="1" s="1"/>
        <i x="2" s="1"/>
        <i x="3" s="1"/>
        <i x="4" s="1"/>
        <i x="5" s="1"/>
        <i x="6" s="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24D2393-B079-4830-B686-1595CA3278F6}" sourceName="Product_Name">
  <pivotTables>
    <pivotTable tabId="5" name="PivotTable1"/>
    <pivotTable tabId="2" name="PivotTable1"/>
    <pivotTable tabId="6" name="PivotTable3"/>
    <pivotTable tabId="8" name="PivotTable4"/>
    <pivotTable tabId="11" name="PivotTable1"/>
  </pivotTables>
  <data>
    <tabular pivotCacheId="764087808">
      <items count="6">
        <i x="5" s="1"/>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8DBF00-AAA5-4188-AB93-552DDDB90B79}" cache="Slicer_Region" caption="Region" rowHeight="234950"/>
  <slicer name="Months (Date)" xr10:uid="{1C54FB8A-1947-4B04-89A4-FB95DA2AE6FA}" cache="Slicer_Months__Date" caption="Months (Date)" rowHeight="234950"/>
  <slicer name="Product_Name" xr10:uid="{198E6CFC-4EED-4073-8578-14D082650C1C}" cache="Slicer_Product_Name" caption="Product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B922F8-81D7-4951-A5F1-9FC3F604BD02}" name="Table3" displayName="Table3" ref="A1:G8" totalsRowCount="1" headerRowDxfId="33" headerRowBorderDxfId="32" tableBorderDxfId="31" totalsRowBorderDxfId="30">
  <autoFilter ref="A1:G7" xr:uid="{35B922F8-81D7-4951-A5F1-9FC3F604BD02}"/>
  <tableColumns count="7">
    <tableColumn id="1" xr3:uid="{F6E5F304-A7F1-4723-8081-E82C7E582E73}" name="Product_ID" totalsRowLabel="Total" dataDxfId="29" totalsRowDxfId="28"/>
    <tableColumn id="2" xr3:uid="{C037C054-BC49-4D5E-B8F0-8B41AA53AE82}" name="Product_Name" totalsRowFunction="count" dataDxfId="27" totalsRowDxfId="26"/>
    <tableColumn id="3" xr3:uid="{7069AFE4-1A48-482C-A2B8-1642ECDA2F28}" name="Category" dataDxfId="25" totalsRowDxfId="24"/>
    <tableColumn id="4" xr3:uid="{ED4DDD4C-E5A6-423F-998C-47A99A9C9CFB}" name="Cost_Price" dataDxfId="23" totalsRowDxfId="22"/>
    <tableColumn id="5" xr3:uid="{AEAEC536-D12B-4560-A914-7241A48954A5}" name="Selling_Price" dataDxfId="21" totalsRowDxfId="20"/>
    <tableColumn id="6" xr3:uid="{A524A6B3-6233-4CA4-919A-09A34C44E8E9}" name="Quantity" totalsRowFunction="sum" dataDxfId="19" totalsRowDxfId="18"/>
    <tableColumn id="7" xr3:uid="{ED8F8B42-53F4-4EE4-8EF6-CA48BE4451B5}" name="Profit" totalsRowFunction="sum" dataDxfId="17" totalsRowDxfId="16">
      <calculatedColumnFormula>(E2-D2)*F2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88A34-37D5-4EBD-909D-C617DF7E9D1E}" name="Table1" displayName="Table1" ref="A1:E26" totalsRowCount="1" headerRowDxfId="15" totalsRowDxfId="12" headerRowBorderDxfId="14" tableBorderDxfId="13" totalsRowBorderDxfId="11">
  <autoFilter ref="A1:E25" xr:uid="{68E88A34-37D5-4EBD-909D-C617DF7E9D1E}"/>
  <sortState xmlns:xlrd2="http://schemas.microsoft.com/office/spreadsheetml/2017/richdata2" ref="A2:C25">
    <sortCondition ref="A1:A25"/>
  </sortState>
  <tableColumns count="5">
    <tableColumn id="1" xr3:uid="{47FC6CFC-351F-4324-B7EB-AE44A8369D99}" name="Region" totalsRowLabel="Total" dataDxfId="10" totalsRowDxfId="9"/>
    <tableColumn id="2" xr3:uid="{DF2A0022-87A4-4701-AD21-A41B4E871C6C}" name="Month" dataDxfId="8" totalsRowDxfId="7"/>
    <tableColumn id="3" xr3:uid="{227F7C92-786D-48A7-86DD-F0C6473B4BEC}" name="Sales_Target" totalsRowFunction="sum" dataDxfId="6" totalsRowDxfId="5"/>
    <tableColumn id="4" xr3:uid="{93DB5595-1DD0-42EC-8A76-019AF66BF165}" name="Actual sales" totalsRowFunction="sum" dataDxfId="4" totalsRowDxfId="3"/>
    <tableColumn id="5" xr3:uid="{D5D368D6-FC31-46D7-BC75-81427738D9E5}" name="Prcenteg" dataDxfId="2" totalsRowDxfId="1" dataCellStyle="Percent" totalsRowCellStyle="Percent">
      <calculatedColumnFormula>Table1[[#This Row],[Actual sales]]/Table1[[#This Row],[Sales_Target]]</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119E2-0419-4EE6-A2DB-3482F97C5115}">
  <dimension ref="A1:B6"/>
  <sheetViews>
    <sheetView workbookViewId="0">
      <selection activeCell="P12" sqref="P12"/>
    </sheetView>
  </sheetViews>
  <sheetFormatPr defaultRowHeight="14.4" x14ac:dyDescent="0.3"/>
  <cols>
    <col min="1" max="1" width="12.5546875" bestFit="1" customWidth="1"/>
    <col min="2" max="2" width="17" bestFit="1" customWidth="1"/>
    <col min="3" max="3" width="7" bestFit="1" customWidth="1"/>
    <col min="4" max="4" width="8" bestFit="1" customWidth="1"/>
    <col min="5" max="5" width="7" bestFit="1" customWidth="1"/>
    <col min="6" max="6" width="8" bestFit="1" customWidth="1"/>
    <col min="7" max="7" width="7" bestFit="1" customWidth="1"/>
    <col min="8" max="8" width="10.77734375" bestFit="1" customWidth="1"/>
  </cols>
  <sheetData>
    <row r="1" spans="1:2" x14ac:dyDescent="0.3">
      <c r="A1" s="3" t="s">
        <v>193</v>
      </c>
      <c r="B1" t="s">
        <v>195</v>
      </c>
    </row>
    <row r="2" spans="1:2" x14ac:dyDescent="0.3">
      <c r="A2" s="4" t="s">
        <v>19</v>
      </c>
      <c r="B2">
        <v>1375100</v>
      </c>
    </row>
    <row r="3" spans="1:2" x14ac:dyDescent="0.3">
      <c r="A3" s="4" t="s">
        <v>14</v>
      </c>
      <c r="B3">
        <v>1678600</v>
      </c>
    </row>
    <row r="4" spans="1:2" x14ac:dyDescent="0.3">
      <c r="A4" s="4" t="s">
        <v>24</v>
      </c>
      <c r="B4">
        <v>1228400</v>
      </c>
    </row>
    <row r="5" spans="1:2" x14ac:dyDescent="0.3">
      <c r="A5" s="4" t="s">
        <v>30</v>
      </c>
      <c r="B5">
        <v>1961300</v>
      </c>
    </row>
    <row r="6" spans="1:2" x14ac:dyDescent="0.3">
      <c r="A6" s="4" t="s">
        <v>194</v>
      </c>
      <c r="B6">
        <v>6243400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43F3-B982-4A2C-AC83-39DB274E9354}">
  <dimension ref="A1:B8"/>
  <sheetViews>
    <sheetView topLeftCell="A4" workbookViewId="0">
      <selection activeCell="P17" sqref="P17"/>
    </sheetView>
  </sheetViews>
  <sheetFormatPr defaultRowHeight="14.4" x14ac:dyDescent="0.3"/>
  <cols>
    <col min="1" max="1" width="12.5546875" bestFit="1" customWidth="1"/>
    <col min="2" max="2" width="17" bestFit="1" customWidth="1"/>
  </cols>
  <sheetData>
    <row r="1" spans="1:2" x14ac:dyDescent="0.3">
      <c r="A1" s="3" t="s">
        <v>193</v>
      </c>
      <c r="B1" t="s">
        <v>195</v>
      </c>
    </row>
    <row r="2" spans="1:2" x14ac:dyDescent="0.3">
      <c r="A2" s="4" t="s">
        <v>37</v>
      </c>
      <c r="B2">
        <v>123500</v>
      </c>
    </row>
    <row r="3" spans="1:2" x14ac:dyDescent="0.3">
      <c r="A3" s="4" t="s">
        <v>28</v>
      </c>
      <c r="B3">
        <v>4275000</v>
      </c>
    </row>
    <row r="4" spans="1:2" x14ac:dyDescent="0.3">
      <c r="A4" s="4" t="s">
        <v>34</v>
      </c>
      <c r="B4">
        <v>1245000</v>
      </c>
    </row>
    <row r="5" spans="1:2" x14ac:dyDescent="0.3">
      <c r="A5" s="4" t="s">
        <v>18</v>
      </c>
      <c r="B5">
        <v>255500</v>
      </c>
    </row>
    <row r="6" spans="1:2" x14ac:dyDescent="0.3">
      <c r="A6" s="4" t="s">
        <v>12</v>
      </c>
      <c r="B6">
        <v>286000</v>
      </c>
    </row>
    <row r="7" spans="1:2" x14ac:dyDescent="0.3">
      <c r="A7" s="4" t="s">
        <v>22</v>
      </c>
      <c r="B7">
        <v>58400</v>
      </c>
    </row>
    <row r="8" spans="1:2" x14ac:dyDescent="0.3">
      <c r="A8" s="4" t="s">
        <v>194</v>
      </c>
      <c r="B8">
        <v>6243400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014B7-1484-4D35-89C2-A7F03108C9AA}">
  <dimension ref="A1:Q39"/>
  <sheetViews>
    <sheetView topLeftCell="B1" workbookViewId="0">
      <selection activeCell="F4" sqref="F4"/>
    </sheetView>
  </sheetViews>
  <sheetFormatPr defaultRowHeight="14.4" x14ac:dyDescent="0.3"/>
  <cols>
    <col min="1" max="1" width="12.44140625" bestFit="1" customWidth="1"/>
    <col min="2" max="2" width="16.5546875" bestFit="1" customWidth="1"/>
  </cols>
  <sheetData>
    <row r="1" spans="1:17" x14ac:dyDescent="0.3">
      <c r="A1" s="6"/>
      <c r="B1" s="6"/>
      <c r="C1" s="6"/>
      <c r="D1" s="6"/>
      <c r="E1" s="6"/>
      <c r="F1" s="6"/>
      <c r="G1" s="6"/>
      <c r="H1" s="6"/>
      <c r="I1" s="6"/>
      <c r="J1" s="6"/>
      <c r="K1" s="6"/>
      <c r="L1" s="6"/>
      <c r="M1" s="6"/>
      <c r="N1" s="6"/>
      <c r="O1" s="6"/>
      <c r="P1" s="6"/>
      <c r="Q1" s="6"/>
    </row>
    <row r="2" spans="1:17" x14ac:dyDescent="0.3">
      <c r="A2" s="6"/>
      <c r="B2" s="6"/>
      <c r="C2" s="6"/>
      <c r="D2" s="6"/>
      <c r="E2" s="6"/>
      <c r="F2" s="6"/>
      <c r="G2" s="6"/>
      <c r="H2" s="6"/>
      <c r="I2" s="6"/>
      <c r="J2" s="6"/>
      <c r="K2" s="6"/>
      <c r="L2" s="6"/>
      <c r="M2" s="6"/>
      <c r="N2" s="6"/>
      <c r="O2" s="6"/>
      <c r="P2" s="6"/>
      <c r="Q2" s="6"/>
    </row>
    <row r="3" spans="1:17" x14ac:dyDescent="0.3">
      <c r="A3" s="7" t="s">
        <v>193</v>
      </c>
      <c r="B3" s="8" t="s">
        <v>195</v>
      </c>
      <c r="C3" s="6"/>
      <c r="D3" s="6"/>
      <c r="E3" s="6"/>
      <c r="F3" s="6"/>
      <c r="G3" s="6"/>
      <c r="H3" s="6"/>
      <c r="I3" s="6"/>
      <c r="J3" s="6"/>
      <c r="K3" s="6"/>
      <c r="L3" s="6"/>
      <c r="M3" s="6"/>
      <c r="N3" s="6"/>
      <c r="O3" s="6"/>
      <c r="P3" s="6"/>
      <c r="Q3" s="6"/>
    </row>
    <row r="4" spans="1:17" x14ac:dyDescent="0.3">
      <c r="A4" s="27" t="s">
        <v>37</v>
      </c>
      <c r="B4" s="8">
        <v>123500</v>
      </c>
      <c r="C4" s="6"/>
      <c r="D4" s="6"/>
      <c r="E4" s="6"/>
      <c r="F4" s="6"/>
      <c r="G4" s="6"/>
      <c r="H4" s="6"/>
      <c r="I4" s="6"/>
      <c r="J4" s="6"/>
      <c r="K4" s="6"/>
      <c r="L4" s="6"/>
      <c r="M4" s="6"/>
      <c r="N4" s="6"/>
      <c r="O4" s="6"/>
      <c r="P4" s="6"/>
      <c r="Q4" s="6"/>
    </row>
    <row r="5" spans="1:17" x14ac:dyDescent="0.3">
      <c r="A5" s="29" t="s">
        <v>28</v>
      </c>
      <c r="B5" s="40">
        <v>4275000</v>
      </c>
      <c r="C5" s="6"/>
      <c r="D5" s="6"/>
      <c r="E5" s="6"/>
      <c r="F5" s="6"/>
      <c r="G5" s="6"/>
      <c r="H5" s="6"/>
      <c r="I5" s="6"/>
      <c r="J5" s="6"/>
      <c r="K5" s="6"/>
      <c r="L5" s="6"/>
      <c r="M5" s="6"/>
      <c r="N5" s="6"/>
      <c r="O5" s="6"/>
      <c r="P5" s="6"/>
      <c r="Q5" s="6"/>
    </row>
    <row r="6" spans="1:17" x14ac:dyDescent="0.3">
      <c r="A6" s="29" t="s">
        <v>34</v>
      </c>
      <c r="B6" s="40">
        <v>1245000</v>
      </c>
      <c r="C6" s="6"/>
      <c r="D6" s="6"/>
      <c r="E6" s="6"/>
      <c r="F6" s="6"/>
      <c r="G6" s="6"/>
      <c r="H6" s="6"/>
      <c r="I6" s="6"/>
      <c r="J6" s="6"/>
      <c r="K6" s="6"/>
      <c r="L6" s="6"/>
      <c r="M6" s="6"/>
      <c r="N6" s="6"/>
      <c r="O6" s="6"/>
      <c r="P6" s="6"/>
      <c r="Q6" s="6"/>
    </row>
    <row r="7" spans="1:17" x14ac:dyDescent="0.3">
      <c r="A7" s="29" t="s">
        <v>18</v>
      </c>
      <c r="B7" s="40">
        <v>255500</v>
      </c>
      <c r="C7" s="6"/>
      <c r="D7" s="6"/>
      <c r="E7" s="6"/>
      <c r="F7" s="6"/>
      <c r="G7" s="6"/>
      <c r="H7" s="6"/>
      <c r="I7" s="6"/>
      <c r="J7" s="6"/>
      <c r="K7" s="6"/>
      <c r="L7" s="6"/>
      <c r="M7" s="6"/>
      <c r="N7" s="6"/>
      <c r="O7" s="6"/>
      <c r="P7" s="6"/>
      <c r="Q7" s="6"/>
    </row>
    <row r="8" spans="1:17" x14ac:dyDescent="0.3">
      <c r="A8" s="29" t="s">
        <v>12</v>
      </c>
      <c r="B8" s="40">
        <v>286000</v>
      </c>
      <c r="C8" s="6"/>
      <c r="D8" s="6"/>
      <c r="E8" s="6"/>
      <c r="F8" s="6"/>
      <c r="G8" s="6"/>
      <c r="H8" s="6"/>
      <c r="I8" s="6"/>
      <c r="J8" s="6"/>
      <c r="K8" s="6"/>
      <c r="L8" s="6"/>
      <c r="M8" s="6"/>
      <c r="N8" s="6"/>
      <c r="O8" s="6"/>
      <c r="P8" s="6"/>
      <c r="Q8" s="6"/>
    </row>
    <row r="9" spans="1:17" x14ac:dyDescent="0.3">
      <c r="A9" s="29" t="s">
        <v>22</v>
      </c>
      <c r="B9" s="40">
        <v>58400</v>
      </c>
      <c r="C9" s="6"/>
      <c r="D9" s="6"/>
      <c r="E9" s="6"/>
      <c r="F9" s="6"/>
      <c r="G9" s="6"/>
      <c r="H9" s="6"/>
      <c r="I9" s="6"/>
      <c r="J9" s="6"/>
      <c r="K9" s="6"/>
      <c r="L9" s="6"/>
      <c r="M9" s="6"/>
      <c r="N9" s="6"/>
      <c r="O9" s="6"/>
      <c r="P9" s="6"/>
      <c r="Q9" s="6"/>
    </row>
    <row r="10" spans="1:17" x14ac:dyDescent="0.3">
      <c r="A10" s="28" t="s">
        <v>194</v>
      </c>
      <c r="B10" s="41">
        <v>6243400</v>
      </c>
      <c r="C10" s="6"/>
      <c r="D10" s="6"/>
      <c r="E10" s="6"/>
      <c r="F10" s="6"/>
      <c r="G10" s="6"/>
      <c r="H10" s="6"/>
      <c r="I10" s="6"/>
      <c r="J10" s="6"/>
      <c r="K10" s="6"/>
      <c r="L10" s="6"/>
      <c r="M10" s="6"/>
      <c r="N10" s="6"/>
      <c r="O10" s="6"/>
      <c r="P10" s="6"/>
      <c r="Q10" s="6"/>
    </row>
    <row r="11" spans="1:17" x14ac:dyDescent="0.3">
      <c r="A11" s="30"/>
      <c r="B11" s="30"/>
      <c r="C11" s="6"/>
      <c r="D11" s="6"/>
      <c r="E11" s="6"/>
      <c r="F11" s="6"/>
      <c r="G11" s="6"/>
      <c r="H11" s="6"/>
      <c r="I11" s="6"/>
      <c r="J11" s="6"/>
      <c r="K11" s="6"/>
      <c r="L11" s="6"/>
      <c r="M11" s="6"/>
      <c r="N11" s="6"/>
      <c r="O11" s="6"/>
      <c r="P11" s="6"/>
      <c r="Q11" s="6"/>
    </row>
    <row r="12" spans="1:17" x14ac:dyDescent="0.3">
      <c r="A12" s="30"/>
      <c r="B12" s="30"/>
      <c r="C12" s="6"/>
      <c r="D12" s="6"/>
      <c r="E12" s="6"/>
      <c r="F12" s="6"/>
      <c r="G12" s="6"/>
      <c r="H12" s="6"/>
      <c r="I12" s="6"/>
      <c r="J12" s="6"/>
      <c r="K12" s="6"/>
      <c r="L12" s="6"/>
      <c r="M12" s="6"/>
      <c r="N12" s="6"/>
      <c r="O12" s="6"/>
      <c r="P12" s="6"/>
      <c r="Q12" s="6"/>
    </row>
    <row r="13" spans="1:17" x14ac:dyDescent="0.3">
      <c r="A13" s="30"/>
      <c r="B13" s="30"/>
      <c r="C13" s="6"/>
      <c r="D13" s="6"/>
      <c r="E13" s="6"/>
      <c r="F13" s="6"/>
      <c r="G13" s="6"/>
      <c r="H13" s="6"/>
      <c r="I13" s="6"/>
      <c r="J13" s="6"/>
      <c r="K13" s="6"/>
      <c r="L13" s="6"/>
      <c r="M13" s="6"/>
      <c r="N13" s="6"/>
      <c r="O13" s="6"/>
      <c r="P13" s="6"/>
      <c r="Q13" s="6"/>
    </row>
    <row r="14" spans="1:17" x14ac:dyDescent="0.3">
      <c r="A14" s="30"/>
      <c r="B14" s="30"/>
      <c r="C14" s="6"/>
      <c r="D14" s="6"/>
      <c r="E14" s="6"/>
      <c r="F14" s="6"/>
      <c r="G14" s="6"/>
      <c r="H14" s="6"/>
      <c r="I14" s="6"/>
      <c r="J14" s="6"/>
      <c r="K14" s="6"/>
      <c r="L14" s="6"/>
      <c r="M14" s="6"/>
      <c r="N14" s="6"/>
      <c r="O14" s="6"/>
      <c r="P14" s="6"/>
      <c r="Q14" s="6"/>
    </row>
    <row r="15" spans="1:17" x14ac:dyDescent="0.3">
      <c r="A15" s="30"/>
      <c r="B15" s="30"/>
      <c r="C15" s="6"/>
      <c r="D15" s="6"/>
      <c r="E15" s="6"/>
      <c r="F15" s="6"/>
      <c r="G15" s="6"/>
      <c r="H15" s="6"/>
      <c r="I15" s="6"/>
      <c r="J15" s="6"/>
      <c r="K15" s="6"/>
      <c r="L15" s="6"/>
      <c r="M15" s="6"/>
      <c r="N15" s="6"/>
      <c r="O15" s="6"/>
      <c r="P15" s="6"/>
      <c r="Q15" s="6"/>
    </row>
    <row r="16" spans="1:17" x14ac:dyDescent="0.3">
      <c r="A16" s="30"/>
      <c r="B16" s="30"/>
      <c r="C16" s="6"/>
      <c r="D16" s="6"/>
      <c r="E16" s="6"/>
      <c r="F16" s="6"/>
      <c r="G16" s="6"/>
      <c r="H16" s="6"/>
      <c r="I16" s="6"/>
      <c r="J16" s="6"/>
      <c r="K16" s="6"/>
      <c r="L16" s="6"/>
      <c r="M16" s="6"/>
      <c r="N16" s="6"/>
      <c r="O16" s="6"/>
      <c r="P16" s="6"/>
      <c r="Q16" s="6"/>
    </row>
    <row r="17" spans="1:17" x14ac:dyDescent="0.3">
      <c r="A17" s="30"/>
      <c r="B17" s="30"/>
      <c r="C17" s="6"/>
      <c r="D17" s="6"/>
      <c r="E17" s="6"/>
      <c r="F17" s="6"/>
      <c r="G17" s="6"/>
      <c r="H17" s="6"/>
      <c r="I17" s="6"/>
      <c r="J17" s="6"/>
      <c r="K17" s="6"/>
      <c r="L17" s="6"/>
      <c r="M17" s="6"/>
      <c r="N17" s="6"/>
      <c r="O17" s="6"/>
      <c r="P17" s="6"/>
      <c r="Q17" s="6"/>
    </row>
    <row r="18" spans="1:17" x14ac:dyDescent="0.3">
      <c r="A18" s="30"/>
      <c r="B18" s="30"/>
      <c r="C18" s="6"/>
      <c r="D18" s="6"/>
      <c r="E18" s="6"/>
      <c r="F18" s="6"/>
      <c r="G18" s="6"/>
      <c r="H18" s="6"/>
      <c r="I18" s="6"/>
      <c r="J18" s="6"/>
      <c r="K18" s="6"/>
      <c r="L18" s="6"/>
      <c r="M18" s="6"/>
      <c r="N18" s="6"/>
      <c r="O18" s="6"/>
      <c r="P18" s="6"/>
      <c r="Q18" s="6"/>
    </row>
    <row r="19" spans="1:17" x14ac:dyDescent="0.3">
      <c r="A19" s="30"/>
      <c r="B19" s="30"/>
      <c r="C19" s="6"/>
      <c r="D19" s="6"/>
      <c r="E19" s="6"/>
      <c r="F19" s="6"/>
      <c r="G19" s="6"/>
      <c r="H19" s="6"/>
      <c r="I19" s="6"/>
      <c r="J19" s="6"/>
      <c r="K19" s="6"/>
      <c r="L19" s="6"/>
      <c r="M19" s="6"/>
      <c r="N19" s="6"/>
      <c r="O19" s="6"/>
      <c r="P19" s="6"/>
      <c r="Q19" s="6"/>
    </row>
    <row r="20" spans="1:17" x14ac:dyDescent="0.3">
      <c r="A20" s="30"/>
      <c r="B20" s="30"/>
      <c r="C20" s="6"/>
      <c r="D20" s="6"/>
      <c r="E20" s="6"/>
      <c r="F20" s="6"/>
      <c r="G20" s="6"/>
      <c r="H20" s="6"/>
      <c r="I20" s="6"/>
      <c r="J20" s="6"/>
      <c r="K20" s="6"/>
      <c r="L20" s="6"/>
      <c r="M20" s="6"/>
      <c r="N20" s="6"/>
      <c r="O20" s="6"/>
      <c r="P20" s="6"/>
      <c r="Q20" s="6"/>
    </row>
    <row r="21" spans="1:17" x14ac:dyDescent="0.3">
      <c r="A21" s="30"/>
      <c r="B21" s="30"/>
      <c r="C21" s="6"/>
      <c r="D21" s="6"/>
      <c r="E21" s="6"/>
      <c r="F21" s="6"/>
      <c r="G21" s="6"/>
      <c r="H21" s="6"/>
      <c r="I21" s="6"/>
      <c r="J21" s="6"/>
      <c r="K21" s="6"/>
      <c r="L21" s="6"/>
      <c r="M21" s="6"/>
      <c r="N21" s="6"/>
      <c r="O21" s="6"/>
      <c r="P21" s="6"/>
      <c r="Q21" s="6"/>
    </row>
    <row r="22" spans="1:17" x14ac:dyDescent="0.3">
      <c r="A22" s="30"/>
      <c r="B22" s="30"/>
      <c r="C22" s="6"/>
      <c r="D22" s="6"/>
      <c r="E22" s="6"/>
      <c r="F22" s="6"/>
      <c r="G22" s="6"/>
      <c r="H22" s="6"/>
      <c r="I22" s="6"/>
      <c r="J22" s="6"/>
      <c r="K22" s="6"/>
      <c r="L22" s="6"/>
      <c r="M22" s="6"/>
      <c r="N22" s="6"/>
      <c r="O22" s="6"/>
      <c r="P22" s="6"/>
      <c r="Q22" s="6"/>
    </row>
    <row r="23" spans="1:17" x14ac:dyDescent="0.3">
      <c r="A23" s="30"/>
      <c r="B23" s="30"/>
      <c r="C23" s="6"/>
      <c r="D23" s="6"/>
      <c r="E23" s="6"/>
      <c r="F23" s="6"/>
      <c r="G23" s="6"/>
      <c r="H23" s="6"/>
      <c r="I23" s="6"/>
      <c r="J23" s="6"/>
      <c r="K23" s="6"/>
      <c r="L23" s="6"/>
      <c r="M23" s="6"/>
      <c r="N23" s="6"/>
      <c r="O23" s="6"/>
      <c r="P23" s="6"/>
      <c r="Q23" s="6"/>
    </row>
    <row r="24" spans="1:17" x14ac:dyDescent="0.3">
      <c r="A24" s="30"/>
      <c r="B24" s="30"/>
      <c r="C24" s="6"/>
      <c r="D24" s="6"/>
      <c r="E24" s="6"/>
      <c r="F24" s="6"/>
      <c r="G24" s="6"/>
      <c r="H24" s="6"/>
      <c r="I24" s="6"/>
      <c r="J24" s="6"/>
      <c r="K24" s="6"/>
      <c r="L24" s="6"/>
      <c r="M24" s="6"/>
      <c r="N24" s="6"/>
      <c r="O24" s="6"/>
      <c r="P24" s="6"/>
      <c r="Q24" s="6"/>
    </row>
    <row r="25" spans="1:17" x14ac:dyDescent="0.3">
      <c r="A25" s="30"/>
      <c r="B25" s="30"/>
      <c r="C25" s="6"/>
      <c r="D25" s="6"/>
      <c r="E25" s="6"/>
      <c r="F25" s="6"/>
      <c r="G25" s="6"/>
      <c r="H25" s="6"/>
      <c r="I25" s="6"/>
      <c r="J25" s="6"/>
      <c r="K25" s="6"/>
      <c r="L25" s="6"/>
      <c r="M25" s="6"/>
      <c r="N25" s="6"/>
      <c r="O25" s="6"/>
      <c r="P25" s="6"/>
      <c r="Q25" s="6"/>
    </row>
    <row r="26" spans="1:17" x14ac:dyDescent="0.3">
      <c r="A26" s="30"/>
      <c r="B26" s="30"/>
      <c r="C26" s="6"/>
      <c r="D26" s="6"/>
      <c r="E26" s="6"/>
      <c r="F26" s="6"/>
      <c r="G26" s="6"/>
      <c r="H26" s="6"/>
      <c r="I26" s="6"/>
      <c r="J26" s="6"/>
      <c r="K26" s="6"/>
      <c r="L26" s="6"/>
      <c r="M26" s="6"/>
      <c r="N26" s="6"/>
      <c r="O26" s="6"/>
      <c r="P26" s="6"/>
      <c r="Q26" s="6"/>
    </row>
    <row r="27" spans="1:17" x14ac:dyDescent="0.3">
      <c r="A27" s="30"/>
      <c r="B27" s="30"/>
      <c r="C27" s="6"/>
      <c r="D27" s="6"/>
      <c r="E27" s="6"/>
      <c r="F27" s="6"/>
      <c r="G27" s="6"/>
      <c r="H27" s="6"/>
      <c r="I27" s="6"/>
      <c r="J27" s="6"/>
      <c r="K27" s="6"/>
      <c r="L27" s="6"/>
      <c r="M27" s="6"/>
      <c r="N27" s="6"/>
      <c r="O27" s="6"/>
      <c r="P27" s="6"/>
      <c r="Q27" s="6"/>
    </row>
    <row r="28" spans="1:17" x14ac:dyDescent="0.3">
      <c r="A28" s="30"/>
      <c r="B28" s="30"/>
      <c r="C28" s="6"/>
      <c r="D28" s="6"/>
      <c r="E28" s="6"/>
      <c r="F28" s="6"/>
      <c r="G28" s="6"/>
      <c r="H28" s="6"/>
      <c r="I28" s="6"/>
      <c r="J28" s="6"/>
      <c r="K28" s="6"/>
      <c r="L28" s="6"/>
      <c r="M28" s="6"/>
      <c r="N28" s="6"/>
      <c r="O28" s="6"/>
      <c r="P28" s="6"/>
      <c r="Q28" s="6"/>
    </row>
    <row r="29" spans="1:17" x14ac:dyDescent="0.3">
      <c r="A29" s="30"/>
      <c r="B29" s="30"/>
      <c r="C29" s="6"/>
      <c r="D29" s="6"/>
      <c r="E29" s="6"/>
      <c r="F29" s="6"/>
      <c r="G29" s="6"/>
      <c r="H29" s="6"/>
      <c r="I29" s="6"/>
      <c r="J29" s="6"/>
      <c r="K29" s="6"/>
      <c r="L29" s="6"/>
      <c r="M29" s="6"/>
      <c r="N29" s="6"/>
      <c r="O29" s="6"/>
      <c r="P29" s="6"/>
      <c r="Q29" s="6"/>
    </row>
    <row r="30" spans="1:17" x14ac:dyDescent="0.3">
      <c r="A30" s="30"/>
      <c r="B30" s="30"/>
      <c r="C30" s="6"/>
      <c r="D30" s="6"/>
      <c r="E30" s="6"/>
      <c r="F30" s="6"/>
      <c r="G30" s="6"/>
      <c r="H30" s="6"/>
      <c r="I30" s="6"/>
      <c r="J30" s="6"/>
      <c r="K30" s="6"/>
      <c r="L30" s="6"/>
      <c r="M30" s="6"/>
      <c r="N30" s="6"/>
      <c r="O30" s="6"/>
      <c r="P30" s="6"/>
      <c r="Q30" s="6"/>
    </row>
    <row r="31" spans="1:17" x14ac:dyDescent="0.3">
      <c r="A31" s="30"/>
      <c r="B31" s="30"/>
      <c r="C31" s="6"/>
      <c r="D31" s="6"/>
      <c r="E31" s="6"/>
      <c r="F31" s="6"/>
      <c r="G31" s="6"/>
      <c r="H31" s="6"/>
      <c r="I31" s="6"/>
      <c r="J31" s="6"/>
      <c r="K31" s="6"/>
      <c r="L31" s="6"/>
      <c r="M31" s="6"/>
      <c r="N31" s="6"/>
      <c r="O31" s="6"/>
      <c r="P31" s="6"/>
      <c r="Q31" s="6"/>
    </row>
    <row r="32" spans="1:17" x14ac:dyDescent="0.3">
      <c r="A32" s="30"/>
      <c r="B32" s="30"/>
      <c r="C32" s="6"/>
      <c r="D32" s="6"/>
      <c r="E32" s="6"/>
      <c r="F32" s="6"/>
      <c r="G32" s="6"/>
      <c r="H32" s="6"/>
      <c r="I32" s="6"/>
      <c r="J32" s="6"/>
      <c r="K32" s="6"/>
      <c r="L32" s="6"/>
      <c r="M32" s="6"/>
      <c r="N32" s="6"/>
      <c r="O32" s="6"/>
      <c r="P32" s="6"/>
      <c r="Q32" s="6"/>
    </row>
    <row r="33" spans="1:17" x14ac:dyDescent="0.3">
      <c r="A33" s="30"/>
      <c r="B33" s="30"/>
      <c r="C33" s="6"/>
      <c r="D33" s="6"/>
      <c r="E33" s="6"/>
      <c r="F33" s="6"/>
      <c r="G33" s="6"/>
      <c r="H33" s="6"/>
      <c r="I33" s="6"/>
      <c r="J33" s="6"/>
      <c r="K33" s="6"/>
      <c r="L33" s="6"/>
      <c r="M33" s="6"/>
      <c r="N33" s="6"/>
      <c r="O33" s="6"/>
      <c r="P33" s="6"/>
      <c r="Q33" s="6"/>
    </row>
    <row r="34" spans="1:17" x14ac:dyDescent="0.3">
      <c r="A34" s="30"/>
      <c r="B34" s="30"/>
      <c r="C34" s="6"/>
      <c r="D34" s="6"/>
      <c r="E34" s="6"/>
      <c r="F34" s="6"/>
      <c r="G34" s="6"/>
      <c r="H34" s="6"/>
      <c r="I34" s="6"/>
      <c r="J34" s="6"/>
      <c r="K34" s="6"/>
      <c r="L34" s="6"/>
      <c r="M34" s="6"/>
      <c r="N34" s="6"/>
      <c r="O34" s="6"/>
      <c r="P34" s="6"/>
      <c r="Q34" s="6"/>
    </row>
    <row r="35" spans="1:17" x14ac:dyDescent="0.3">
      <c r="A35" s="30"/>
      <c r="B35" s="30"/>
      <c r="C35" s="6"/>
      <c r="D35" s="6"/>
      <c r="E35" s="6"/>
      <c r="F35" s="6"/>
      <c r="G35" s="6"/>
      <c r="H35" s="6"/>
      <c r="I35" s="6"/>
      <c r="J35" s="6"/>
      <c r="K35" s="6"/>
      <c r="L35" s="6"/>
      <c r="M35" s="6"/>
      <c r="N35" s="6"/>
      <c r="O35" s="6"/>
      <c r="P35" s="6"/>
      <c r="Q35" s="6"/>
    </row>
    <row r="36" spans="1:17" x14ac:dyDescent="0.3">
      <c r="A36" s="30"/>
      <c r="B36" s="30"/>
      <c r="C36" s="6"/>
      <c r="D36" s="6"/>
      <c r="E36" s="6"/>
      <c r="F36" s="6"/>
      <c r="G36" s="6"/>
      <c r="H36" s="6"/>
      <c r="I36" s="6"/>
      <c r="J36" s="6"/>
      <c r="K36" s="6"/>
      <c r="L36" s="6"/>
      <c r="M36" s="6"/>
      <c r="N36" s="6"/>
      <c r="O36" s="6"/>
      <c r="P36" s="6"/>
      <c r="Q36" s="6"/>
    </row>
    <row r="37" spans="1:17" x14ac:dyDescent="0.3">
      <c r="A37" s="30"/>
      <c r="B37" s="30"/>
      <c r="C37" s="6"/>
      <c r="D37" s="6"/>
      <c r="E37" s="6"/>
      <c r="F37" s="6"/>
      <c r="G37" s="6"/>
      <c r="H37" s="6"/>
      <c r="I37" s="6"/>
      <c r="J37" s="6"/>
      <c r="K37" s="6"/>
      <c r="L37" s="6"/>
      <c r="M37" s="6"/>
      <c r="N37" s="6"/>
      <c r="O37" s="6"/>
      <c r="P37" s="6"/>
      <c r="Q37" s="6"/>
    </row>
    <row r="38" spans="1:17" x14ac:dyDescent="0.3">
      <c r="A38" s="30"/>
      <c r="B38" s="30"/>
      <c r="C38" s="6"/>
      <c r="D38" s="6"/>
      <c r="E38" s="6"/>
      <c r="F38" s="6"/>
      <c r="G38" s="6"/>
      <c r="H38" s="6"/>
      <c r="I38" s="6"/>
      <c r="J38" s="6"/>
      <c r="K38" s="6"/>
      <c r="L38" s="6"/>
      <c r="M38" s="6"/>
      <c r="N38" s="6"/>
      <c r="O38" s="6"/>
      <c r="P38" s="6"/>
      <c r="Q38" s="6"/>
    </row>
    <row r="39" spans="1:17" x14ac:dyDescent="0.3">
      <c r="A39" s="30"/>
      <c r="B39" s="30"/>
      <c r="C39" s="6"/>
      <c r="D39" s="6"/>
      <c r="E39" s="6"/>
      <c r="F39" s="6"/>
      <c r="G39" s="6"/>
      <c r="H39" s="6"/>
      <c r="I39" s="6"/>
      <c r="J39" s="6"/>
      <c r="K39" s="6"/>
      <c r="L39" s="6"/>
      <c r="M39" s="6"/>
      <c r="N39" s="6"/>
      <c r="O39" s="6"/>
      <c r="P39" s="6"/>
      <c r="Q39" s="6"/>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5BB4-6ECD-46BA-A831-BC5C308C8B5E}">
  <dimension ref="A3:B10"/>
  <sheetViews>
    <sheetView workbookViewId="0">
      <selection activeCell="B28" sqref="B28"/>
    </sheetView>
  </sheetViews>
  <sheetFormatPr defaultRowHeight="14.4" x14ac:dyDescent="0.3"/>
  <cols>
    <col min="1" max="1" width="12.5546875" bestFit="1" customWidth="1"/>
    <col min="2" max="2" width="17" bestFit="1" customWidth="1"/>
  </cols>
  <sheetData>
    <row r="3" spans="1:2" x14ac:dyDescent="0.3">
      <c r="A3" s="3" t="s">
        <v>193</v>
      </c>
      <c r="B3" t="s">
        <v>195</v>
      </c>
    </row>
    <row r="4" spans="1:2" x14ac:dyDescent="0.3">
      <c r="A4" s="4" t="s">
        <v>187</v>
      </c>
      <c r="B4">
        <v>1412900</v>
      </c>
    </row>
    <row r="5" spans="1:2" x14ac:dyDescent="0.3">
      <c r="A5" s="4" t="s">
        <v>188</v>
      </c>
      <c r="B5">
        <v>943200</v>
      </c>
    </row>
    <row r="6" spans="1:2" x14ac:dyDescent="0.3">
      <c r="A6" s="4" t="s">
        <v>189</v>
      </c>
      <c r="B6">
        <v>1245500</v>
      </c>
    </row>
    <row r="7" spans="1:2" x14ac:dyDescent="0.3">
      <c r="A7" s="4" t="s">
        <v>190</v>
      </c>
      <c r="B7">
        <v>813100</v>
      </c>
    </row>
    <row r="8" spans="1:2" x14ac:dyDescent="0.3">
      <c r="A8" s="4" t="s">
        <v>191</v>
      </c>
      <c r="B8">
        <v>1267100</v>
      </c>
    </row>
    <row r="9" spans="1:2" x14ac:dyDescent="0.3">
      <c r="A9" s="4" t="s">
        <v>192</v>
      </c>
      <c r="B9">
        <v>561600</v>
      </c>
    </row>
    <row r="10" spans="1:2" x14ac:dyDescent="0.3">
      <c r="A10" s="4" t="s">
        <v>194</v>
      </c>
      <c r="B10">
        <v>6243400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workbookViewId="0">
      <selection activeCell="L14" sqref="L14"/>
    </sheetView>
  </sheetViews>
  <sheetFormatPr defaultRowHeight="14.4" x14ac:dyDescent="0.3"/>
  <cols>
    <col min="1" max="1" width="18.109375" bestFit="1" customWidth="1"/>
    <col min="2" max="2" width="9.88671875" bestFit="1" customWidth="1"/>
    <col min="3" max="3" width="10.44140625" bestFit="1" customWidth="1"/>
    <col min="4" max="4" width="13.77734375" bestFit="1" customWidth="1"/>
    <col min="5" max="5" width="9.88671875" bestFit="1" customWidth="1"/>
    <col min="6" max="6" width="6.77734375" bestFit="1" customWidth="1"/>
    <col min="7" max="7" width="11" bestFit="1" customWidth="1"/>
    <col min="8" max="8" width="8.33203125" bestFit="1" customWidth="1"/>
    <col min="9" max="9" width="9.6640625" bestFit="1" customWidth="1"/>
    <col min="10" max="10" width="10.4414062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45760</v>
      </c>
      <c r="B2" t="s">
        <v>10</v>
      </c>
      <c r="C2" t="s">
        <v>11</v>
      </c>
      <c r="D2" t="s">
        <v>12</v>
      </c>
      <c r="E2" t="s">
        <v>13</v>
      </c>
      <c r="F2" t="s">
        <v>14</v>
      </c>
      <c r="G2" t="s">
        <v>15</v>
      </c>
      <c r="H2">
        <v>5</v>
      </c>
      <c r="I2">
        <v>5500</v>
      </c>
      <c r="J2">
        <v>27500</v>
      </c>
    </row>
    <row r="3" spans="1:10" x14ac:dyDescent="0.3">
      <c r="A3" s="2">
        <v>45779</v>
      </c>
      <c r="B3" t="s">
        <v>16</v>
      </c>
      <c r="C3" t="s">
        <v>17</v>
      </c>
      <c r="D3" t="s">
        <v>18</v>
      </c>
      <c r="E3" t="s">
        <v>13</v>
      </c>
      <c r="F3" t="s">
        <v>19</v>
      </c>
      <c r="G3" t="s">
        <v>15</v>
      </c>
      <c r="H3">
        <v>3</v>
      </c>
      <c r="I3">
        <v>3500</v>
      </c>
      <c r="J3">
        <v>10500</v>
      </c>
    </row>
    <row r="4" spans="1:10" x14ac:dyDescent="0.3">
      <c r="A4" s="2">
        <v>45807</v>
      </c>
      <c r="B4" t="s">
        <v>20</v>
      </c>
      <c r="C4" t="s">
        <v>21</v>
      </c>
      <c r="D4" t="s">
        <v>22</v>
      </c>
      <c r="E4" t="s">
        <v>23</v>
      </c>
      <c r="F4" t="s">
        <v>24</v>
      </c>
      <c r="G4" t="s">
        <v>25</v>
      </c>
      <c r="H4">
        <v>2</v>
      </c>
      <c r="I4">
        <v>800</v>
      </c>
      <c r="J4">
        <v>1600</v>
      </c>
    </row>
    <row r="5" spans="1:10" x14ac:dyDescent="0.3">
      <c r="A5" s="2">
        <v>45678</v>
      </c>
      <c r="B5" t="s">
        <v>26</v>
      </c>
      <c r="C5" t="s">
        <v>27</v>
      </c>
      <c r="D5" t="s">
        <v>28</v>
      </c>
      <c r="E5" t="s">
        <v>29</v>
      </c>
      <c r="F5" t="s">
        <v>30</v>
      </c>
      <c r="G5" t="s">
        <v>31</v>
      </c>
      <c r="H5">
        <v>5</v>
      </c>
      <c r="I5">
        <v>45000</v>
      </c>
      <c r="J5">
        <v>225000</v>
      </c>
    </row>
    <row r="6" spans="1:10" x14ac:dyDescent="0.3">
      <c r="A6" s="2">
        <v>45716</v>
      </c>
      <c r="B6" t="s">
        <v>32</v>
      </c>
      <c r="C6" t="s">
        <v>33</v>
      </c>
      <c r="D6" t="s">
        <v>34</v>
      </c>
      <c r="E6" t="s">
        <v>29</v>
      </c>
      <c r="F6" t="s">
        <v>30</v>
      </c>
      <c r="G6" t="s">
        <v>25</v>
      </c>
      <c r="H6">
        <v>4</v>
      </c>
      <c r="I6">
        <v>15000</v>
      </c>
      <c r="J6">
        <v>60000</v>
      </c>
    </row>
    <row r="7" spans="1:10" x14ac:dyDescent="0.3">
      <c r="A7" s="2">
        <v>45832</v>
      </c>
      <c r="B7" t="s">
        <v>35</v>
      </c>
      <c r="C7" t="s">
        <v>36</v>
      </c>
      <c r="D7" t="s">
        <v>37</v>
      </c>
      <c r="E7" t="s">
        <v>23</v>
      </c>
      <c r="F7" t="s">
        <v>19</v>
      </c>
      <c r="G7" t="s">
        <v>25</v>
      </c>
      <c r="H7">
        <v>4</v>
      </c>
      <c r="I7">
        <v>1300</v>
      </c>
      <c r="J7">
        <v>5200</v>
      </c>
    </row>
    <row r="8" spans="1:10" x14ac:dyDescent="0.3">
      <c r="A8" s="2">
        <v>45788</v>
      </c>
      <c r="B8" t="s">
        <v>38</v>
      </c>
      <c r="C8" t="s">
        <v>21</v>
      </c>
      <c r="D8" t="s">
        <v>22</v>
      </c>
      <c r="E8" t="s">
        <v>23</v>
      </c>
      <c r="F8" t="s">
        <v>19</v>
      </c>
      <c r="G8" t="s">
        <v>39</v>
      </c>
      <c r="H8">
        <v>1</v>
      </c>
      <c r="I8">
        <v>800</v>
      </c>
      <c r="J8">
        <v>800</v>
      </c>
    </row>
    <row r="9" spans="1:10" x14ac:dyDescent="0.3">
      <c r="A9" s="2">
        <v>45789</v>
      </c>
      <c r="B9" t="s">
        <v>40</v>
      </c>
      <c r="C9" t="s">
        <v>27</v>
      </c>
      <c r="D9" t="s">
        <v>28</v>
      </c>
      <c r="E9" t="s">
        <v>29</v>
      </c>
      <c r="F9" t="s">
        <v>30</v>
      </c>
      <c r="G9" t="s">
        <v>31</v>
      </c>
      <c r="H9">
        <v>2</v>
      </c>
      <c r="I9">
        <v>45000</v>
      </c>
      <c r="J9">
        <v>90000</v>
      </c>
    </row>
    <row r="10" spans="1:10" x14ac:dyDescent="0.3">
      <c r="A10" s="2">
        <v>45710</v>
      </c>
      <c r="B10" t="s">
        <v>41</v>
      </c>
      <c r="C10" t="s">
        <v>33</v>
      </c>
      <c r="D10" t="s">
        <v>34</v>
      </c>
      <c r="E10" t="s">
        <v>29</v>
      </c>
      <c r="F10" t="s">
        <v>30</v>
      </c>
      <c r="G10" t="s">
        <v>25</v>
      </c>
      <c r="H10">
        <v>4</v>
      </c>
      <c r="I10">
        <v>15000</v>
      </c>
      <c r="J10">
        <v>60000</v>
      </c>
    </row>
    <row r="11" spans="1:10" x14ac:dyDescent="0.3">
      <c r="A11" s="2">
        <v>45832</v>
      </c>
      <c r="B11" t="s">
        <v>42</v>
      </c>
      <c r="C11" t="s">
        <v>17</v>
      </c>
      <c r="D11" t="s">
        <v>18</v>
      </c>
      <c r="E11" t="s">
        <v>13</v>
      </c>
      <c r="F11" t="s">
        <v>24</v>
      </c>
      <c r="G11" t="s">
        <v>43</v>
      </c>
      <c r="H11">
        <v>4</v>
      </c>
      <c r="I11">
        <v>3500</v>
      </c>
      <c r="J11">
        <v>14000</v>
      </c>
    </row>
    <row r="12" spans="1:10" x14ac:dyDescent="0.3">
      <c r="A12" s="2">
        <v>45761</v>
      </c>
      <c r="B12" t="s">
        <v>44</v>
      </c>
      <c r="C12" t="s">
        <v>11</v>
      </c>
      <c r="D12" t="s">
        <v>12</v>
      </c>
      <c r="E12" t="s">
        <v>13</v>
      </c>
      <c r="F12" t="s">
        <v>24</v>
      </c>
      <c r="G12" t="s">
        <v>31</v>
      </c>
      <c r="H12">
        <v>4</v>
      </c>
      <c r="I12">
        <v>5500</v>
      </c>
      <c r="J12">
        <v>22000</v>
      </c>
    </row>
    <row r="13" spans="1:10" x14ac:dyDescent="0.3">
      <c r="A13" s="2">
        <v>45803</v>
      </c>
      <c r="B13" t="s">
        <v>45</v>
      </c>
      <c r="C13" t="s">
        <v>33</v>
      </c>
      <c r="D13" t="s">
        <v>34</v>
      </c>
      <c r="E13" t="s">
        <v>29</v>
      </c>
      <c r="F13" t="s">
        <v>30</v>
      </c>
      <c r="G13" t="s">
        <v>31</v>
      </c>
      <c r="H13">
        <v>2</v>
      </c>
      <c r="I13">
        <v>15000</v>
      </c>
      <c r="J13">
        <v>30000</v>
      </c>
    </row>
    <row r="14" spans="1:10" x14ac:dyDescent="0.3">
      <c r="A14" s="2">
        <v>45671</v>
      </c>
      <c r="B14" t="s">
        <v>46</v>
      </c>
      <c r="C14" t="s">
        <v>36</v>
      </c>
      <c r="D14" t="s">
        <v>37</v>
      </c>
      <c r="E14" t="s">
        <v>23</v>
      </c>
      <c r="F14" t="s">
        <v>19</v>
      </c>
      <c r="G14" t="s">
        <v>25</v>
      </c>
      <c r="H14">
        <v>1</v>
      </c>
      <c r="I14">
        <v>1300</v>
      </c>
      <c r="J14">
        <v>1300</v>
      </c>
    </row>
    <row r="15" spans="1:10" x14ac:dyDescent="0.3">
      <c r="A15" s="2">
        <v>45697</v>
      </c>
      <c r="B15" t="s">
        <v>47</v>
      </c>
      <c r="C15" t="s">
        <v>21</v>
      </c>
      <c r="D15" t="s">
        <v>22</v>
      </c>
      <c r="E15" t="s">
        <v>23</v>
      </c>
      <c r="F15" t="s">
        <v>30</v>
      </c>
      <c r="G15" t="s">
        <v>39</v>
      </c>
      <c r="H15">
        <v>2</v>
      </c>
      <c r="I15">
        <v>800</v>
      </c>
      <c r="J15">
        <v>1600</v>
      </c>
    </row>
    <row r="16" spans="1:10" x14ac:dyDescent="0.3">
      <c r="A16" s="2">
        <v>45710</v>
      </c>
      <c r="B16" t="s">
        <v>48</v>
      </c>
      <c r="C16" t="s">
        <v>33</v>
      </c>
      <c r="D16" t="s">
        <v>34</v>
      </c>
      <c r="E16" t="s">
        <v>29</v>
      </c>
      <c r="F16" t="s">
        <v>14</v>
      </c>
      <c r="G16" t="s">
        <v>25</v>
      </c>
      <c r="H16">
        <v>4</v>
      </c>
      <c r="I16">
        <v>15000</v>
      </c>
      <c r="J16">
        <v>60000</v>
      </c>
    </row>
    <row r="17" spans="1:10" x14ac:dyDescent="0.3">
      <c r="A17" s="2">
        <v>45698</v>
      </c>
      <c r="B17" t="s">
        <v>49</v>
      </c>
      <c r="C17" t="s">
        <v>21</v>
      </c>
      <c r="D17" t="s">
        <v>22</v>
      </c>
      <c r="E17" t="s">
        <v>23</v>
      </c>
      <c r="F17" t="s">
        <v>19</v>
      </c>
      <c r="G17" t="s">
        <v>39</v>
      </c>
      <c r="H17">
        <v>1</v>
      </c>
      <c r="I17">
        <v>800</v>
      </c>
      <c r="J17">
        <v>800</v>
      </c>
    </row>
    <row r="18" spans="1:10" x14ac:dyDescent="0.3">
      <c r="A18" s="2">
        <v>45666</v>
      </c>
      <c r="B18" t="s">
        <v>50</v>
      </c>
      <c r="C18" t="s">
        <v>27</v>
      </c>
      <c r="D18" t="s">
        <v>28</v>
      </c>
      <c r="E18" t="s">
        <v>29</v>
      </c>
      <c r="F18" t="s">
        <v>30</v>
      </c>
      <c r="G18" t="s">
        <v>15</v>
      </c>
      <c r="H18">
        <v>3</v>
      </c>
      <c r="I18">
        <v>45000</v>
      </c>
      <c r="J18">
        <v>135000</v>
      </c>
    </row>
    <row r="19" spans="1:10" x14ac:dyDescent="0.3">
      <c r="A19" s="2">
        <v>45793</v>
      </c>
      <c r="B19" t="s">
        <v>51</v>
      </c>
      <c r="C19" t="s">
        <v>17</v>
      </c>
      <c r="D19" t="s">
        <v>18</v>
      </c>
      <c r="E19" t="s">
        <v>13</v>
      </c>
      <c r="F19" t="s">
        <v>19</v>
      </c>
      <c r="G19" t="s">
        <v>43</v>
      </c>
      <c r="H19">
        <v>3</v>
      </c>
      <c r="I19">
        <v>3500</v>
      </c>
      <c r="J19">
        <v>10500</v>
      </c>
    </row>
    <row r="20" spans="1:10" x14ac:dyDescent="0.3">
      <c r="A20" s="2">
        <v>45698</v>
      </c>
      <c r="B20" t="s">
        <v>52</v>
      </c>
      <c r="C20" t="s">
        <v>11</v>
      </c>
      <c r="D20" t="s">
        <v>12</v>
      </c>
      <c r="E20" t="s">
        <v>13</v>
      </c>
      <c r="F20" t="s">
        <v>19</v>
      </c>
      <c r="G20" t="s">
        <v>43</v>
      </c>
      <c r="H20">
        <v>4</v>
      </c>
      <c r="I20">
        <v>5500</v>
      </c>
      <c r="J20">
        <v>22000</v>
      </c>
    </row>
    <row r="21" spans="1:10" x14ac:dyDescent="0.3">
      <c r="A21" s="2">
        <v>45705</v>
      </c>
      <c r="B21" t="s">
        <v>53</v>
      </c>
      <c r="C21" t="s">
        <v>36</v>
      </c>
      <c r="D21" t="s">
        <v>37</v>
      </c>
      <c r="E21" t="s">
        <v>23</v>
      </c>
      <c r="F21" t="s">
        <v>30</v>
      </c>
      <c r="G21" t="s">
        <v>39</v>
      </c>
      <c r="H21">
        <v>3</v>
      </c>
      <c r="I21">
        <v>1300</v>
      </c>
      <c r="J21">
        <v>3900</v>
      </c>
    </row>
    <row r="22" spans="1:10" x14ac:dyDescent="0.3">
      <c r="A22" s="2">
        <v>45761</v>
      </c>
      <c r="B22" t="s">
        <v>54</v>
      </c>
      <c r="C22" t="s">
        <v>36</v>
      </c>
      <c r="D22" t="s">
        <v>37</v>
      </c>
      <c r="E22" t="s">
        <v>23</v>
      </c>
      <c r="F22" t="s">
        <v>19</v>
      </c>
      <c r="G22" t="s">
        <v>15</v>
      </c>
      <c r="H22">
        <v>1</v>
      </c>
      <c r="I22">
        <v>1300</v>
      </c>
      <c r="J22">
        <v>1300</v>
      </c>
    </row>
    <row r="23" spans="1:10" x14ac:dyDescent="0.3">
      <c r="A23" s="2">
        <v>45788</v>
      </c>
      <c r="B23" t="s">
        <v>55</v>
      </c>
      <c r="C23" t="s">
        <v>27</v>
      </c>
      <c r="D23" t="s">
        <v>28</v>
      </c>
      <c r="E23" t="s">
        <v>29</v>
      </c>
      <c r="F23" t="s">
        <v>14</v>
      </c>
      <c r="G23" t="s">
        <v>31</v>
      </c>
      <c r="H23">
        <v>3</v>
      </c>
      <c r="I23">
        <v>45000</v>
      </c>
      <c r="J23">
        <v>135000</v>
      </c>
    </row>
    <row r="24" spans="1:10" x14ac:dyDescent="0.3">
      <c r="A24" s="2">
        <v>45672</v>
      </c>
      <c r="B24" t="s">
        <v>56</v>
      </c>
      <c r="C24" t="s">
        <v>33</v>
      </c>
      <c r="D24" t="s">
        <v>34</v>
      </c>
      <c r="E24" t="s">
        <v>29</v>
      </c>
      <c r="F24" t="s">
        <v>24</v>
      </c>
      <c r="G24" t="s">
        <v>25</v>
      </c>
      <c r="H24">
        <v>5</v>
      </c>
      <c r="I24">
        <v>15000</v>
      </c>
      <c r="J24">
        <v>75000</v>
      </c>
    </row>
    <row r="25" spans="1:10" x14ac:dyDescent="0.3">
      <c r="A25" s="2">
        <v>45720</v>
      </c>
      <c r="B25" t="s">
        <v>57</v>
      </c>
      <c r="C25" t="s">
        <v>27</v>
      </c>
      <c r="D25" t="s">
        <v>28</v>
      </c>
      <c r="E25" t="s">
        <v>29</v>
      </c>
      <c r="F25" t="s">
        <v>30</v>
      </c>
      <c r="G25" t="s">
        <v>39</v>
      </c>
      <c r="H25">
        <v>4</v>
      </c>
      <c r="I25">
        <v>45000</v>
      </c>
      <c r="J25">
        <v>180000</v>
      </c>
    </row>
    <row r="26" spans="1:10" x14ac:dyDescent="0.3">
      <c r="A26" s="2">
        <v>45808</v>
      </c>
      <c r="B26" t="s">
        <v>58</v>
      </c>
      <c r="C26" t="s">
        <v>21</v>
      </c>
      <c r="D26" t="s">
        <v>22</v>
      </c>
      <c r="E26" t="s">
        <v>23</v>
      </c>
      <c r="F26" t="s">
        <v>19</v>
      </c>
      <c r="G26" t="s">
        <v>15</v>
      </c>
      <c r="H26">
        <v>5</v>
      </c>
      <c r="I26">
        <v>800</v>
      </c>
      <c r="J26">
        <v>4000</v>
      </c>
    </row>
    <row r="27" spans="1:10" x14ac:dyDescent="0.3">
      <c r="A27" s="2">
        <v>45670</v>
      </c>
      <c r="B27" t="s">
        <v>59</v>
      </c>
      <c r="C27" t="s">
        <v>17</v>
      </c>
      <c r="D27" t="s">
        <v>18</v>
      </c>
      <c r="E27" t="s">
        <v>13</v>
      </c>
      <c r="F27" t="s">
        <v>19</v>
      </c>
      <c r="G27" t="s">
        <v>25</v>
      </c>
      <c r="H27">
        <v>2</v>
      </c>
      <c r="I27">
        <v>3500</v>
      </c>
      <c r="J27">
        <v>7000</v>
      </c>
    </row>
    <row r="28" spans="1:10" x14ac:dyDescent="0.3">
      <c r="A28" s="2">
        <v>45685</v>
      </c>
      <c r="B28" t="s">
        <v>60</v>
      </c>
      <c r="C28" t="s">
        <v>11</v>
      </c>
      <c r="D28" t="s">
        <v>12</v>
      </c>
      <c r="E28" t="s">
        <v>13</v>
      </c>
      <c r="F28" t="s">
        <v>30</v>
      </c>
      <c r="G28" t="s">
        <v>25</v>
      </c>
      <c r="H28">
        <v>4</v>
      </c>
      <c r="I28">
        <v>5500</v>
      </c>
      <c r="J28">
        <v>22000</v>
      </c>
    </row>
    <row r="29" spans="1:10" x14ac:dyDescent="0.3">
      <c r="A29" s="2">
        <v>45785</v>
      </c>
      <c r="B29" t="s">
        <v>61</v>
      </c>
      <c r="C29" t="s">
        <v>33</v>
      </c>
      <c r="D29" t="s">
        <v>34</v>
      </c>
      <c r="E29" t="s">
        <v>29</v>
      </c>
      <c r="F29" t="s">
        <v>19</v>
      </c>
      <c r="G29" t="s">
        <v>25</v>
      </c>
      <c r="H29">
        <v>1</v>
      </c>
      <c r="I29">
        <v>15000</v>
      </c>
      <c r="J29">
        <v>15000</v>
      </c>
    </row>
    <row r="30" spans="1:10" x14ac:dyDescent="0.3">
      <c r="A30" s="2">
        <v>45786</v>
      </c>
      <c r="B30" t="s">
        <v>62</v>
      </c>
      <c r="C30" t="s">
        <v>27</v>
      </c>
      <c r="D30" t="s">
        <v>28</v>
      </c>
      <c r="E30" t="s">
        <v>29</v>
      </c>
      <c r="F30" t="s">
        <v>19</v>
      </c>
      <c r="G30" t="s">
        <v>43</v>
      </c>
      <c r="H30">
        <v>4</v>
      </c>
      <c r="I30">
        <v>45000</v>
      </c>
      <c r="J30">
        <v>180000</v>
      </c>
    </row>
    <row r="31" spans="1:10" x14ac:dyDescent="0.3">
      <c r="A31" s="2">
        <v>45660</v>
      </c>
      <c r="B31" t="s">
        <v>63</v>
      </c>
      <c r="C31" t="s">
        <v>36</v>
      </c>
      <c r="D31" t="s">
        <v>37</v>
      </c>
      <c r="E31" t="s">
        <v>23</v>
      </c>
      <c r="F31" t="s">
        <v>30</v>
      </c>
      <c r="G31" t="s">
        <v>15</v>
      </c>
      <c r="H31">
        <v>1</v>
      </c>
      <c r="I31">
        <v>1300</v>
      </c>
      <c r="J31">
        <v>1300</v>
      </c>
    </row>
    <row r="32" spans="1:10" x14ac:dyDescent="0.3">
      <c r="A32" s="2">
        <v>45822</v>
      </c>
      <c r="B32" t="s">
        <v>64</v>
      </c>
      <c r="C32" t="s">
        <v>27</v>
      </c>
      <c r="D32" t="s">
        <v>28</v>
      </c>
      <c r="E32" t="s">
        <v>29</v>
      </c>
      <c r="F32" t="s">
        <v>19</v>
      </c>
      <c r="G32" t="s">
        <v>31</v>
      </c>
      <c r="H32">
        <v>4</v>
      </c>
      <c r="I32">
        <v>45000</v>
      </c>
      <c r="J32">
        <v>180000</v>
      </c>
    </row>
    <row r="33" spans="1:10" x14ac:dyDescent="0.3">
      <c r="A33" s="2">
        <v>45716</v>
      </c>
      <c r="B33" t="s">
        <v>65</v>
      </c>
      <c r="C33" t="s">
        <v>36</v>
      </c>
      <c r="D33" t="s">
        <v>37</v>
      </c>
      <c r="E33" t="s">
        <v>23</v>
      </c>
      <c r="F33" t="s">
        <v>30</v>
      </c>
      <c r="G33" t="s">
        <v>43</v>
      </c>
      <c r="H33">
        <v>4</v>
      </c>
      <c r="I33">
        <v>1300</v>
      </c>
      <c r="J33">
        <v>5200</v>
      </c>
    </row>
    <row r="34" spans="1:10" x14ac:dyDescent="0.3">
      <c r="A34" s="2">
        <v>45719</v>
      </c>
      <c r="B34" t="s">
        <v>66</v>
      </c>
      <c r="C34" t="s">
        <v>27</v>
      </c>
      <c r="D34" t="s">
        <v>28</v>
      </c>
      <c r="E34" t="s">
        <v>29</v>
      </c>
      <c r="F34" t="s">
        <v>24</v>
      </c>
      <c r="G34" t="s">
        <v>25</v>
      </c>
      <c r="H34">
        <v>4</v>
      </c>
      <c r="I34">
        <v>45000</v>
      </c>
      <c r="J34">
        <v>180000</v>
      </c>
    </row>
    <row r="35" spans="1:10" x14ac:dyDescent="0.3">
      <c r="A35" s="2">
        <v>45696</v>
      </c>
      <c r="B35" t="s">
        <v>67</v>
      </c>
      <c r="C35" t="s">
        <v>33</v>
      </c>
      <c r="D35" t="s">
        <v>34</v>
      </c>
      <c r="E35" t="s">
        <v>29</v>
      </c>
      <c r="F35" t="s">
        <v>19</v>
      </c>
      <c r="G35" t="s">
        <v>43</v>
      </c>
      <c r="H35">
        <v>5</v>
      </c>
      <c r="I35">
        <v>15000</v>
      </c>
      <c r="J35">
        <v>75000</v>
      </c>
    </row>
    <row r="36" spans="1:10" x14ac:dyDescent="0.3">
      <c r="A36" s="2">
        <v>45738</v>
      </c>
      <c r="B36" t="s">
        <v>68</v>
      </c>
      <c r="C36" t="s">
        <v>17</v>
      </c>
      <c r="D36" t="s">
        <v>18</v>
      </c>
      <c r="E36" t="s">
        <v>13</v>
      </c>
      <c r="F36" t="s">
        <v>14</v>
      </c>
      <c r="G36" t="s">
        <v>31</v>
      </c>
      <c r="H36">
        <v>2</v>
      </c>
      <c r="I36">
        <v>3500</v>
      </c>
      <c r="J36">
        <v>7000</v>
      </c>
    </row>
    <row r="37" spans="1:10" x14ac:dyDescent="0.3">
      <c r="A37" s="2">
        <v>45786</v>
      </c>
      <c r="B37" t="s">
        <v>69</v>
      </c>
      <c r="C37" t="s">
        <v>17</v>
      </c>
      <c r="D37" t="s">
        <v>18</v>
      </c>
      <c r="E37" t="s">
        <v>13</v>
      </c>
      <c r="F37" t="s">
        <v>24</v>
      </c>
      <c r="G37" t="s">
        <v>31</v>
      </c>
      <c r="H37">
        <v>5</v>
      </c>
      <c r="I37">
        <v>3500</v>
      </c>
      <c r="J37">
        <v>17500</v>
      </c>
    </row>
    <row r="38" spans="1:10" x14ac:dyDescent="0.3">
      <c r="A38" s="2">
        <v>45817</v>
      </c>
      <c r="B38" t="s">
        <v>70</v>
      </c>
      <c r="C38" t="s">
        <v>36</v>
      </c>
      <c r="D38" t="s">
        <v>37</v>
      </c>
      <c r="E38" t="s">
        <v>23</v>
      </c>
      <c r="F38" t="s">
        <v>30</v>
      </c>
      <c r="G38" t="s">
        <v>25</v>
      </c>
      <c r="H38">
        <v>3</v>
      </c>
      <c r="I38">
        <v>1300</v>
      </c>
      <c r="J38">
        <v>3900</v>
      </c>
    </row>
    <row r="39" spans="1:10" x14ac:dyDescent="0.3">
      <c r="A39" s="2">
        <v>45802</v>
      </c>
      <c r="B39" t="s">
        <v>71</v>
      </c>
      <c r="C39" t="s">
        <v>36</v>
      </c>
      <c r="D39" t="s">
        <v>37</v>
      </c>
      <c r="E39" t="s">
        <v>23</v>
      </c>
      <c r="F39" t="s">
        <v>30</v>
      </c>
      <c r="G39" t="s">
        <v>39</v>
      </c>
      <c r="H39">
        <v>4</v>
      </c>
      <c r="I39">
        <v>1300</v>
      </c>
      <c r="J39">
        <v>5200</v>
      </c>
    </row>
    <row r="40" spans="1:10" x14ac:dyDescent="0.3">
      <c r="A40" s="2">
        <v>45796</v>
      </c>
      <c r="B40" t="s">
        <v>72</v>
      </c>
      <c r="C40" t="s">
        <v>27</v>
      </c>
      <c r="D40" t="s">
        <v>28</v>
      </c>
      <c r="E40" t="s">
        <v>29</v>
      </c>
      <c r="F40" t="s">
        <v>14</v>
      </c>
      <c r="G40" t="s">
        <v>25</v>
      </c>
      <c r="H40">
        <v>3</v>
      </c>
      <c r="I40">
        <v>45000</v>
      </c>
      <c r="J40">
        <v>135000</v>
      </c>
    </row>
    <row r="41" spans="1:10" x14ac:dyDescent="0.3">
      <c r="A41" s="2">
        <v>45750</v>
      </c>
      <c r="B41" t="s">
        <v>73</v>
      </c>
      <c r="C41" t="s">
        <v>17</v>
      </c>
      <c r="D41" t="s">
        <v>18</v>
      </c>
      <c r="E41" t="s">
        <v>13</v>
      </c>
      <c r="F41" t="s">
        <v>30</v>
      </c>
      <c r="G41" t="s">
        <v>25</v>
      </c>
      <c r="H41">
        <v>3</v>
      </c>
      <c r="I41">
        <v>3500</v>
      </c>
      <c r="J41">
        <v>10500</v>
      </c>
    </row>
    <row r="42" spans="1:10" x14ac:dyDescent="0.3">
      <c r="A42" s="2">
        <v>45747</v>
      </c>
      <c r="B42" t="s">
        <v>74</v>
      </c>
      <c r="C42" t="s">
        <v>17</v>
      </c>
      <c r="D42" t="s">
        <v>18</v>
      </c>
      <c r="E42" t="s">
        <v>13</v>
      </c>
      <c r="F42" t="s">
        <v>19</v>
      </c>
      <c r="G42" t="s">
        <v>15</v>
      </c>
      <c r="H42">
        <v>4</v>
      </c>
      <c r="I42">
        <v>3500</v>
      </c>
      <c r="J42">
        <v>14000</v>
      </c>
    </row>
    <row r="43" spans="1:10" x14ac:dyDescent="0.3">
      <c r="A43" s="2">
        <v>45709</v>
      </c>
      <c r="B43" t="s">
        <v>75</v>
      </c>
      <c r="C43" t="s">
        <v>27</v>
      </c>
      <c r="D43" t="s">
        <v>28</v>
      </c>
      <c r="E43" t="s">
        <v>29</v>
      </c>
      <c r="F43" t="s">
        <v>14</v>
      </c>
      <c r="G43" t="s">
        <v>31</v>
      </c>
      <c r="H43">
        <v>1</v>
      </c>
      <c r="I43">
        <v>45000</v>
      </c>
      <c r="J43">
        <v>45000</v>
      </c>
    </row>
    <row r="44" spans="1:10" x14ac:dyDescent="0.3">
      <c r="A44" s="2">
        <v>45835</v>
      </c>
      <c r="B44" t="s">
        <v>76</v>
      </c>
      <c r="C44" t="s">
        <v>36</v>
      </c>
      <c r="D44" t="s">
        <v>37</v>
      </c>
      <c r="E44" t="s">
        <v>23</v>
      </c>
      <c r="F44" t="s">
        <v>24</v>
      </c>
      <c r="G44" t="s">
        <v>15</v>
      </c>
      <c r="H44">
        <v>4</v>
      </c>
      <c r="I44">
        <v>1300</v>
      </c>
      <c r="J44">
        <v>5200</v>
      </c>
    </row>
    <row r="45" spans="1:10" x14ac:dyDescent="0.3">
      <c r="A45" s="2">
        <v>45747</v>
      </c>
      <c r="B45" t="s">
        <v>77</v>
      </c>
      <c r="C45" t="s">
        <v>27</v>
      </c>
      <c r="D45" t="s">
        <v>28</v>
      </c>
      <c r="E45" t="s">
        <v>29</v>
      </c>
      <c r="F45" t="s">
        <v>30</v>
      </c>
      <c r="G45" t="s">
        <v>25</v>
      </c>
      <c r="H45">
        <v>1</v>
      </c>
      <c r="I45">
        <v>45000</v>
      </c>
      <c r="J45">
        <v>45000</v>
      </c>
    </row>
    <row r="46" spans="1:10" x14ac:dyDescent="0.3">
      <c r="A46" s="2">
        <v>45786</v>
      </c>
      <c r="B46" t="s">
        <v>78</v>
      </c>
      <c r="C46" t="s">
        <v>36</v>
      </c>
      <c r="D46" t="s">
        <v>37</v>
      </c>
      <c r="E46" t="s">
        <v>23</v>
      </c>
      <c r="F46" t="s">
        <v>30</v>
      </c>
      <c r="G46" t="s">
        <v>39</v>
      </c>
      <c r="H46">
        <v>5</v>
      </c>
      <c r="I46">
        <v>1300</v>
      </c>
      <c r="J46">
        <v>6500</v>
      </c>
    </row>
    <row r="47" spans="1:10" x14ac:dyDescent="0.3">
      <c r="A47" s="2">
        <v>45666</v>
      </c>
      <c r="B47" t="s">
        <v>79</v>
      </c>
      <c r="C47" t="s">
        <v>27</v>
      </c>
      <c r="D47" t="s">
        <v>28</v>
      </c>
      <c r="E47" t="s">
        <v>29</v>
      </c>
      <c r="F47" t="s">
        <v>19</v>
      </c>
      <c r="G47" t="s">
        <v>15</v>
      </c>
      <c r="H47">
        <v>3</v>
      </c>
      <c r="I47">
        <v>45000</v>
      </c>
      <c r="J47">
        <v>135000</v>
      </c>
    </row>
    <row r="48" spans="1:10" x14ac:dyDescent="0.3">
      <c r="A48" s="2">
        <v>45809</v>
      </c>
      <c r="B48" t="s">
        <v>80</v>
      </c>
      <c r="C48" t="s">
        <v>36</v>
      </c>
      <c r="D48" t="s">
        <v>37</v>
      </c>
      <c r="E48" t="s">
        <v>23</v>
      </c>
      <c r="F48" t="s">
        <v>30</v>
      </c>
      <c r="G48" t="s">
        <v>43</v>
      </c>
      <c r="H48">
        <v>4</v>
      </c>
      <c r="I48">
        <v>1300</v>
      </c>
      <c r="J48">
        <v>5200</v>
      </c>
    </row>
    <row r="49" spans="1:10" x14ac:dyDescent="0.3">
      <c r="A49" s="2">
        <v>45821</v>
      </c>
      <c r="B49" t="s">
        <v>81</v>
      </c>
      <c r="C49" t="s">
        <v>36</v>
      </c>
      <c r="D49" t="s">
        <v>37</v>
      </c>
      <c r="E49" t="s">
        <v>23</v>
      </c>
      <c r="F49" t="s">
        <v>30</v>
      </c>
      <c r="G49" t="s">
        <v>25</v>
      </c>
      <c r="H49">
        <v>3</v>
      </c>
      <c r="I49">
        <v>1300</v>
      </c>
      <c r="J49">
        <v>3900</v>
      </c>
    </row>
    <row r="50" spans="1:10" x14ac:dyDescent="0.3">
      <c r="A50" s="2">
        <v>45756</v>
      </c>
      <c r="B50" t="s">
        <v>82</v>
      </c>
      <c r="C50" t="s">
        <v>27</v>
      </c>
      <c r="D50" t="s">
        <v>28</v>
      </c>
      <c r="E50" t="s">
        <v>29</v>
      </c>
      <c r="F50" t="s">
        <v>14</v>
      </c>
      <c r="G50" t="s">
        <v>31</v>
      </c>
      <c r="H50">
        <v>2</v>
      </c>
      <c r="I50">
        <v>45000</v>
      </c>
      <c r="J50">
        <v>90000</v>
      </c>
    </row>
    <row r="51" spans="1:10" x14ac:dyDescent="0.3">
      <c r="A51" s="2">
        <v>45820</v>
      </c>
      <c r="B51" t="s">
        <v>83</v>
      </c>
      <c r="C51" t="s">
        <v>21</v>
      </c>
      <c r="D51" t="s">
        <v>22</v>
      </c>
      <c r="E51" t="s">
        <v>23</v>
      </c>
      <c r="F51" t="s">
        <v>14</v>
      </c>
      <c r="G51" t="s">
        <v>25</v>
      </c>
      <c r="H51">
        <v>1</v>
      </c>
      <c r="I51">
        <v>800</v>
      </c>
      <c r="J51">
        <v>800</v>
      </c>
    </row>
    <row r="52" spans="1:10" x14ac:dyDescent="0.3">
      <c r="A52" s="2">
        <v>45690</v>
      </c>
      <c r="B52" t="s">
        <v>84</v>
      </c>
      <c r="C52" t="s">
        <v>36</v>
      </c>
      <c r="D52" t="s">
        <v>37</v>
      </c>
      <c r="E52" t="s">
        <v>23</v>
      </c>
      <c r="F52" t="s">
        <v>14</v>
      </c>
      <c r="G52" t="s">
        <v>25</v>
      </c>
      <c r="H52">
        <v>3</v>
      </c>
      <c r="I52">
        <v>1300</v>
      </c>
      <c r="J52">
        <v>3900</v>
      </c>
    </row>
    <row r="53" spans="1:10" x14ac:dyDescent="0.3">
      <c r="A53" s="2">
        <v>45785</v>
      </c>
      <c r="B53" t="s">
        <v>85</v>
      </c>
      <c r="C53" t="s">
        <v>27</v>
      </c>
      <c r="D53" t="s">
        <v>28</v>
      </c>
      <c r="E53" t="s">
        <v>29</v>
      </c>
      <c r="F53" t="s">
        <v>30</v>
      </c>
      <c r="G53" t="s">
        <v>25</v>
      </c>
      <c r="H53">
        <v>3</v>
      </c>
      <c r="I53">
        <v>45000</v>
      </c>
      <c r="J53">
        <v>135000</v>
      </c>
    </row>
    <row r="54" spans="1:10" x14ac:dyDescent="0.3">
      <c r="A54" s="2">
        <v>45776</v>
      </c>
      <c r="B54" t="s">
        <v>86</v>
      </c>
      <c r="C54" t="s">
        <v>36</v>
      </c>
      <c r="D54" t="s">
        <v>37</v>
      </c>
      <c r="E54" t="s">
        <v>23</v>
      </c>
      <c r="F54" t="s">
        <v>24</v>
      </c>
      <c r="G54" t="s">
        <v>39</v>
      </c>
      <c r="H54">
        <v>3</v>
      </c>
      <c r="I54">
        <v>1300</v>
      </c>
      <c r="J54">
        <v>3900</v>
      </c>
    </row>
    <row r="55" spans="1:10" x14ac:dyDescent="0.3">
      <c r="A55" s="2">
        <v>45684</v>
      </c>
      <c r="B55" t="s">
        <v>87</v>
      </c>
      <c r="C55" t="s">
        <v>17</v>
      </c>
      <c r="D55" t="s">
        <v>18</v>
      </c>
      <c r="E55" t="s">
        <v>13</v>
      </c>
      <c r="F55" t="s">
        <v>24</v>
      </c>
      <c r="G55" t="s">
        <v>39</v>
      </c>
      <c r="H55">
        <v>1</v>
      </c>
      <c r="I55">
        <v>3500</v>
      </c>
      <c r="J55">
        <v>3500</v>
      </c>
    </row>
    <row r="56" spans="1:10" x14ac:dyDescent="0.3">
      <c r="A56" s="2">
        <v>45718</v>
      </c>
      <c r="B56" t="s">
        <v>88</v>
      </c>
      <c r="C56" t="s">
        <v>17</v>
      </c>
      <c r="D56" t="s">
        <v>18</v>
      </c>
      <c r="E56" t="s">
        <v>13</v>
      </c>
      <c r="F56" t="s">
        <v>30</v>
      </c>
      <c r="G56" t="s">
        <v>15</v>
      </c>
      <c r="H56">
        <v>1</v>
      </c>
      <c r="I56">
        <v>3500</v>
      </c>
      <c r="J56">
        <v>3500</v>
      </c>
    </row>
    <row r="57" spans="1:10" x14ac:dyDescent="0.3">
      <c r="A57" s="2">
        <v>45674</v>
      </c>
      <c r="B57" t="s">
        <v>89</v>
      </c>
      <c r="C57" t="s">
        <v>11</v>
      </c>
      <c r="D57" t="s">
        <v>12</v>
      </c>
      <c r="E57" t="s">
        <v>13</v>
      </c>
      <c r="F57" t="s">
        <v>30</v>
      </c>
      <c r="G57" t="s">
        <v>39</v>
      </c>
      <c r="H57">
        <v>5</v>
      </c>
      <c r="I57">
        <v>5500</v>
      </c>
      <c r="J57">
        <v>27500</v>
      </c>
    </row>
    <row r="58" spans="1:10" x14ac:dyDescent="0.3">
      <c r="A58" s="2">
        <v>45681</v>
      </c>
      <c r="B58" t="s">
        <v>90</v>
      </c>
      <c r="C58" t="s">
        <v>21</v>
      </c>
      <c r="D58" t="s">
        <v>22</v>
      </c>
      <c r="E58" t="s">
        <v>23</v>
      </c>
      <c r="F58" t="s">
        <v>14</v>
      </c>
      <c r="G58" t="s">
        <v>39</v>
      </c>
      <c r="H58">
        <v>3</v>
      </c>
      <c r="I58">
        <v>800</v>
      </c>
      <c r="J58">
        <v>2400</v>
      </c>
    </row>
    <row r="59" spans="1:10" x14ac:dyDescent="0.3">
      <c r="A59" s="2">
        <v>45773</v>
      </c>
      <c r="B59" t="s">
        <v>91</v>
      </c>
      <c r="C59" t="s">
        <v>21</v>
      </c>
      <c r="D59" t="s">
        <v>22</v>
      </c>
      <c r="E59" t="s">
        <v>23</v>
      </c>
      <c r="F59" t="s">
        <v>14</v>
      </c>
      <c r="G59" t="s">
        <v>43</v>
      </c>
      <c r="H59">
        <v>3</v>
      </c>
      <c r="I59">
        <v>800</v>
      </c>
      <c r="J59">
        <v>2400</v>
      </c>
    </row>
    <row r="60" spans="1:10" x14ac:dyDescent="0.3">
      <c r="A60" s="2">
        <v>45675</v>
      </c>
      <c r="B60" t="s">
        <v>92</v>
      </c>
      <c r="C60" t="s">
        <v>27</v>
      </c>
      <c r="D60" t="s">
        <v>28</v>
      </c>
      <c r="E60" t="s">
        <v>29</v>
      </c>
      <c r="F60" t="s">
        <v>24</v>
      </c>
      <c r="G60" t="s">
        <v>31</v>
      </c>
      <c r="H60">
        <v>3</v>
      </c>
      <c r="I60">
        <v>45000</v>
      </c>
      <c r="J60">
        <v>135000</v>
      </c>
    </row>
    <row r="61" spans="1:10" x14ac:dyDescent="0.3">
      <c r="A61" s="2">
        <v>45831</v>
      </c>
      <c r="B61" t="s">
        <v>93</v>
      </c>
      <c r="C61" t="s">
        <v>33</v>
      </c>
      <c r="D61" t="s">
        <v>34</v>
      </c>
      <c r="E61" t="s">
        <v>29</v>
      </c>
      <c r="F61" t="s">
        <v>30</v>
      </c>
      <c r="G61" t="s">
        <v>31</v>
      </c>
      <c r="H61">
        <v>3</v>
      </c>
      <c r="I61">
        <v>15000</v>
      </c>
      <c r="J61">
        <v>45000</v>
      </c>
    </row>
    <row r="62" spans="1:10" x14ac:dyDescent="0.3">
      <c r="A62" s="2">
        <v>45674</v>
      </c>
      <c r="B62" t="s">
        <v>94</v>
      </c>
      <c r="C62" t="s">
        <v>27</v>
      </c>
      <c r="D62" t="s">
        <v>28</v>
      </c>
      <c r="E62" t="s">
        <v>29</v>
      </c>
      <c r="F62" t="s">
        <v>14</v>
      </c>
      <c r="G62" t="s">
        <v>15</v>
      </c>
      <c r="H62">
        <v>5</v>
      </c>
      <c r="I62">
        <v>45000</v>
      </c>
      <c r="J62">
        <v>225000</v>
      </c>
    </row>
    <row r="63" spans="1:10" x14ac:dyDescent="0.3">
      <c r="A63" s="2">
        <v>45683</v>
      </c>
      <c r="B63" t="s">
        <v>95</v>
      </c>
      <c r="C63" t="s">
        <v>17</v>
      </c>
      <c r="D63" t="s">
        <v>18</v>
      </c>
      <c r="E63" t="s">
        <v>13</v>
      </c>
      <c r="F63" t="s">
        <v>24</v>
      </c>
      <c r="G63" t="s">
        <v>43</v>
      </c>
      <c r="H63">
        <v>5</v>
      </c>
      <c r="I63">
        <v>3500</v>
      </c>
      <c r="J63">
        <v>17500</v>
      </c>
    </row>
    <row r="64" spans="1:10" x14ac:dyDescent="0.3">
      <c r="A64" s="2">
        <v>45792</v>
      </c>
      <c r="B64" t="s">
        <v>96</v>
      </c>
      <c r="C64" t="s">
        <v>27</v>
      </c>
      <c r="D64" t="s">
        <v>28</v>
      </c>
      <c r="E64" t="s">
        <v>29</v>
      </c>
      <c r="F64" t="s">
        <v>30</v>
      </c>
      <c r="G64" t="s">
        <v>39</v>
      </c>
      <c r="H64">
        <v>4</v>
      </c>
      <c r="I64">
        <v>45000</v>
      </c>
      <c r="J64">
        <v>180000</v>
      </c>
    </row>
    <row r="65" spans="1:10" x14ac:dyDescent="0.3">
      <c r="A65" s="2">
        <v>45665</v>
      </c>
      <c r="B65" t="s">
        <v>97</v>
      </c>
      <c r="C65" t="s">
        <v>36</v>
      </c>
      <c r="D65" t="s">
        <v>37</v>
      </c>
      <c r="E65" t="s">
        <v>23</v>
      </c>
      <c r="F65" t="s">
        <v>30</v>
      </c>
      <c r="G65" t="s">
        <v>25</v>
      </c>
      <c r="H65">
        <v>3</v>
      </c>
      <c r="I65">
        <v>1300</v>
      </c>
      <c r="J65">
        <v>3900</v>
      </c>
    </row>
    <row r="66" spans="1:10" x14ac:dyDescent="0.3">
      <c r="A66" s="2">
        <v>45800</v>
      </c>
      <c r="B66" t="s">
        <v>98</v>
      </c>
      <c r="C66" t="s">
        <v>11</v>
      </c>
      <c r="D66" t="s">
        <v>12</v>
      </c>
      <c r="E66" t="s">
        <v>13</v>
      </c>
      <c r="F66" t="s">
        <v>24</v>
      </c>
      <c r="G66" t="s">
        <v>31</v>
      </c>
      <c r="H66">
        <v>3</v>
      </c>
      <c r="I66">
        <v>5500</v>
      </c>
      <c r="J66">
        <v>16500</v>
      </c>
    </row>
    <row r="67" spans="1:10" x14ac:dyDescent="0.3">
      <c r="A67" s="2">
        <v>45720</v>
      </c>
      <c r="B67" t="s">
        <v>99</v>
      </c>
      <c r="C67" t="s">
        <v>36</v>
      </c>
      <c r="D67" t="s">
        <v>37</v>
      </c>
      <c r="E67" t="s">
        <v>23</v>
      </c>
      <c r="F67" t="s">
        <v>14</v>
      </c>
      <c r="G67" t="s">
        <v>31</v>
      </c>
      <c r="H67">
        <v>2</v>
      </c>
      <c r="I67">
        <v>1300</v>
      </c>
      <c r="J67">
        <v>2600</v>
      </c>
    </row>
    <row r="68" spans="1:10" x14ac:dyDescent="0.3">
      <c r="A68" s="2">
        <v>45706</v>
      </c>
      <c r="B68" t="s">
        <v>100</v>
      </c>
      <c r="C68" t="s">
        <v>11</v>
      </c>
      <c r="D68" t="s">
        <v>12</v>
      </c>
      <c r="E68" t="s">
        <v>13</v>
      </c>
      <c r="F68" t="s">
        <v>24</v>
      </c>
      <c r="G68" t="s">
        <v>15</v>
      </c>
      <c r="H68">
        <v>4</v>
      </c>
      <c r="I68">
        <v>5500</v>
      </c>
      <c r="J68">
        <v>22000</v>
      </c>
    </row>
    <row r="69" spans="1:10" x14ac:dyDescent="0.3">
      <c r="A69" s="2">
        <v>45717</v>
      </c>
      <c r="B69" t="s">
        <v>101</v>
      </c>
      <c r="C69" t="s">
        <v>11</v>
      </c>
      <c r="D69" t="s">
        <v>12</v>
      </c>
      <c r="E69" t="s">
        <v>13</v>
      </c>
      <c r="F69" t="s">
        <v>30</v>
      </c>
      <c r="G69" t="s">
        <v>39</v>
      </c>
      <c r="H69">
        <v>4</v>
      </c>
      <c r="I69">
        <v>5500</v>
      </c>
      <c r="J69">
        <v>22000</v>
      </c>
    </row>
    <row r="70" spans="1:10" x14ac:dyDescent="0.3">
      <c r="A70" s="2">
        <v>45766</v>
      </c>
      <c r="B70" t="s">
        <v>102</v>
      </c>
      <c r="C70" t="s">
        <v>11</v>
      </c>
      <c r="D70" t="s">
        <v>12</v>
      </c>
      <c r="E70" t="s">
        <v>13</v>
      </c>
      <c r="F70" t="s">
        <v>24</v>
      </c>
      <c r="G70" t="s">
        <v>15</v>
      </c>
      <c r="H70">
        <v>4</v>
      </c>
      <c r="I70">
        <v>5500</v>
      </c>
      <c r="J70">
        <v>22000</v>
      </c>
    </row>
    <row r="71" spans="1:10" x14ac:dyDescent="0.3">
      <c r="A71" s="2">
        <v>45670</v>
      </c>
      <c r="B71" t="s">
        <v>103</v>
      </c>
      <c r="C71" t="s">
        <v>33</v>
      </c>
      <c r="D71" t="s">
        <v>34</v>
      </c>
      <c r="E71" t="s">
        <v>29</v>
      </c>
      <c r="F71" t="s">
        <v>30</v>
      </c>
      <c r="G71" t="s">
        <v>31</v>
      </c>
      <c r="H71">
        <v>3</v>
      </c>
      <c r="I71">
        <v>15000</v>
      </c>
      <c r="J71">
        <v>45000</v>
      </c>
    </row>
    <row r="72" spans="1:10" x14ac:dyDescent="0.3">
      <c r="A72" s="2">
        <v>45777</v>
      </c>
      <c r="B72" t="s">
        <v>104</v>
      </c>
      <c r="C72" t="s">
        <v>17</v>
      </c>
      <c r="D72" t="s">
        <v>18</v>
      </c>
      <c r="E72" t="s">
        <v>13</v>
      </c>
      <c r="F72" t="s">
        <v>30</v>
      </c>
      <c r="G72" t="s">
        <v>31</v>
      </c>
      <c r="H72">
        <v>2</v>
      </c>
      <c r="I72">
        <v>3500</v>
      </c>
      <c r="J72">
        <v>7000</v>
      </c>
    </row>
    <row r="73" spans="1:10" x14ac:dyDescent="0.3">
      <c r="A73" s="2">
        <v>45774</v>
      </c>
      <c r="B73" t="s">
        <v>105</v>
      </c>
      <c r="C73" t="s">
        <v>36</v>
      </c>
      <c r="D73" t="s">
        <v>37</v>
      </c>
      <c r="E73" t="s">
        <v>23</v>
      </c>
      <c r="F73" t="s">
        <v>19</v>
      </c>
      <c r="G73" t="s">
        <v>43</v>
      </c>
      <c r="H73">
        <v>4</v>
      </c>
      <c r="I73">
        <v>1300</v>
      </c>
      <c r="J73">
        <v>5200</v>
      </c>
    </row>
    <row r="74" spans="1:10" x14ac:dyDescent="0.3">
      <c r="A74" s="2">
        <v>45715</v>
      </c>
      <c r="B74" t="s">
        <v>106</v>
      </c>
      <c r="C74" t="s">
        <v>33</v>
      </c>
      <c r="D74" t="s">
        <v>34</v>
      </c>
      <c r="E74" t="s">
        <v>29</v>
      </c>
      <c r="F74" t="s">
        <v>14</v>
      </c>
      <c r="G74" t="s">
        <v>31</v>
      </c>
      <c r="H74">
        <v>1</v>
      </c>
      <c r="I74">
        <v>15000</v>
      </c>
      <c r="J74">
        <v>15000</v>
      </c>
    </row>
    <row r="75" spans="1:10" x14ac:dyDescent="0.3">
      <c r="A75" s="2">
        <v>45774</v>
      </c>
      <c r="B75" t="s">
        <v>107</v>
      </c>
      <c r="C75" t="s">
        <v>27</v>
      </c>
      <c r="D75" t="s">
        <v>28</v>
      </c>
      <c r="E75" t="s">
        <v>29</v>
      </c>
      <c r="F75" t="s">
        <v>30</v>
      </c>
      <c r="G75" t="s">
        <v>39</v>
      </c>
      <c r="H75">
        <v>5</v>
      </c>
      <c r="I75">
        <v>45000</v>
      </c>
      <c r="J75">
        <v>225000</v>
      </c>
    </row>
    <row r="76" spans="1:10" x14ac:dyDescent="0.3">
      <c r="A76" s="2">
        <v>45733</v>
      </c>
      <c r="B76" t="s">
        <v>108</v>
      </c>
      <c r="C76" t="s">
        <v>33</v>
      </c>
      <c r="D76" t="s">
        <v>34</v>
      </c>
      <c r="E76" t="s">
        <v>29</v>
      </c>
      <c r="F76" t="s">
        <v>30</v>
      </c>
      <c r="G76" t="s">
        <v>15</v>
      </c>
      <c r="H76">
        <v>5</v>
      </c>
      <c r="I76">
        <v>15000</v>
      </c>
      <c r="J76">
        <v>75000</v>
      </c>
    </row>
    <row r="77" spans="1:10" x14ac:dyDescent="0.3">
      <c r="A77" s="2">
        <v>45686</v>
      </c>
      <c r="B77" t="s">
        <v>109</v>
      </c>
      <c r="C77" t="s">
        <v>36</v>
      </c>
      <c r="D77" t="s">
        <v>37</v>
      </c>
      <c r="E77" t="s">
        <v>23</v>
      </c>
      <c r="F77" t="s">
        <v>30</v>
      </c>
      <c r="G77" t="s">
        <v>39</v>
      </c>
      <c r="H77">
        <v>1</v>
      </c>
      <c r="I77">
        <v>1300</v>
      </c>
      <c r="J77">
        <v>1300</v>
      </c>
    </row>
    <row r="78" spans="1:10" x14ac:dyDescent="0.3">
      <c r="A78" s="2">
        <v>45801</v>
      </c>
      <c r="B78" t="s">
        <v>110</v>
      </c>
      <c r="C78" t="s">
        <v>33</v>
      </c>
      <c r="D78" t="s">
        <v>34</v>
      </c>
      <c r="E78" t="s">
        <v>29</v>
      </c>
      <c r="F78" t="s">
        <v>24</v>
      </c>
      <c r="G78" t="s">
        <v>39</v>
      </c>
      <c r="H78">
        <v>4</v>
      </c>
      <c r="I78">
        <v>15000</v>
      </c>
      <c r="J78">
        <v>60000</v>
      </c>
    </row>
    <row r="79" spans="1:10" x14ac:dyDescent="0.3">
      <c r="A79" s="2">
        <v>45758</v>
      </c>
      <c r="B79" t="s">
        <v>111</v>
      </c>
      <c r="C79" t="s">
        <v>33</v>
      </c>
      <c r="D79" t="s">
        <v>34</v>
      </c>
      <c r="E79" t="s">
        <v>29</v>
      </c>
      <c r="F79" t="s">
        <v>24</v>
      </c>
      <c r="G79" t="s">
        <v>39</v>
      </c>
      <c r="H79">
        <v>4</v>
      </c>
      <c r="I79">
        <v>15000</v>
      </c>
      <c r="J79">
        <v>60000</v>
      </c>
    </row>
    <row r="80" spans="1:10" x14ac:dyDescent="0.3">
      <c r="A80" s="2">
        <v>45837</v>
      </c>
      <c r="B80" t="s">
        <v>112</v>
      </c>
      <c r="C80" t="s">
        <v>33</v>
      </c>
      <c r="D80" t="s">
        <v>34</v>
      </c>
      <c r="E80" t="s">
        <v>29</v>
      </c>
      <c r="F80" t="s">
        <v>24</v>
      </c>
      <c r="G80" t="s">
        <v>15</v>
      </c>
      <c r="H80">
        <v>2</v>
      </c>
      <c r="I80">
        <v>15000</v>
      </c>
      <c r="J80">
        <v>30000</v>
      </c>
    </row>
    <row r="81" spans="1:10" x14ac:dyDescent="0.3">
      <c r="A81" s="2">
        <v>45673</v>
      </c>
      <c r="B81" t="s">
        <v>113</v>
      </c>
      <c r="C81" t="s">
        <v>33</v>
      </c>
      <c r="D81" t="s">
        <v>34</v>
      </c>
      <c r="E81" t="s">
        <v>29</v>
      </c>
      <c r="F81" t="s">
        <v>14</v>
      </c>
      <c r="G81" t="s">
        <v>25</v>
      </c>
      <c r="H81">
        <v>3</v>
      </c>
      <c r="I81">
        <v>15000</v>
      </c>
      <c r="J81">
        <v>45000</v>
      </c>
    </row>
    <row r="82" spans="1:10" x14ac:dyDescent="0.3">
      <c r="A82" s="2">
        <v>45809</v>
      </c>
      <c r="B82" t="s">
        <v>114</v>
      </c>
      <c r="C82" t="s">
        <v>11</v>
      </c>
      <c r="D82" t="s">
        <v>12</v>
      </c>
      <c r="E82" t="s">
        <v>13</v>
      </c>
      <c r="F82" t="s">
        <v>24</v>
      </c>
      <c r="G82" t="s">
        <v>15</v>
      </c>
      <c r="H82">
        <v>4</v>
      </c>
      <c r="I82">
        <v>5500</v>
      </c>
      <c r="J82">
        <v>22000</v>
      </c>
    </row>
    <row r="83" spans="1:10" x14ac:dyDescent="0.3">
      <c r="A83" s="2">
        <v>45836</v>
      </c>
      <c r="B83" t="s">
        <v>115</v>
      </c>
      <c r="C83" t="s">
        <v>17</v>
      </c>
      <c r="D83" t="s">
        <v>18</v>
      </c>
      <c r="E83" t="s">
        <v>13</v>
      </c>
      <c r="F83" t="s">
        <v>14</v>
      </c>
      <c r="G83" t="s">
        <v>25</v>
      </c>
      <c r="H83">
        <v>3</v>
      </c>
      <c r="I83">
        <v>3500</v>
      </c>
      <c r="J83">
        <v>10500</v>
      </c>
    </row>
    <row r="84" spans="1:10" x14ac:dyDescent="0.3">
      <c r="A84" s="2">
        <v>45825</v>
      </c>
      <c r="B84" t="s">
        <v>116</v>
      </c>
      <c r="C84" t="s">
        <v>33</v>
      </c>
      <c r="D84" t="s">
        <v>34</v>
      </c>
      <c r="E84" t="s">
        <v>29</v>
      </c>
      <c r="F84" t="s">
        <v>19</v>
      </c>
      <c r="G84" t="s">
        <v>25</v>
      </c>
      <c r="H84">
        <v>5</v>
      </c>
      <c r="I84">
        <v>15000</v>
      </c>
      <c r="J84">
        <v>75000</v>
      </c>
    </row>
    <row r="85" spans="1:10" x14ac:dyDescent="0.3">
      <c r="A85" s="2">
        <v>45752</v>
      </c>
      <c r="B85" t="s">
        <v>117</v>
      </c>
      <c r="C85" t="s">
        <v>36</v>
      </c>
      <c r="D85" t="s">
        <v>37</v>
      </c>
      <c r="E85" t="s">
        <v>23</v>
      </c>
      <c r="F85" t="s">
        <v>24</v>
      </c>
      <c r="G85" t="s">
        <v>39</v>
      </c>
      <c r="H85">
        <v>3</v>
      </c>
      <c r="I85">
        <v>1300</v>
      </c>
      <c r="J85">
        <v>3900</v>
      </c>
    </row>
    <row r="86" spans="1:10" x14ac:dyDescent="0.3">
      <c r="A86" s="2">
        <v>45692</v>
      </c>
      <c r="B86" t="s">
        <v>118</v>
      </c>
      <c r="C86" t="s">
        <v>27</v>
      </c>
      <c r="D86" t="s">
        <v>28</v>
      </c>
      <c r="E86" t="s">
        <v>29</v>
      </c>
      <c r="F86" t="s">
        <v>24</v>
      </c>
      <c r="G86" t="s">
        <v>39</v>
      </c>
      <c r="H86">
        <v>2</v>
      </c>
      <c r="I86">
        <v>45000</v>
      </c>
      <c r="J86">
        <v>90000</v>
      </c>
    </row>
    <row r="87" spans="1:10" x14ac:dyDescent="0.3">
      <c r="A87" s="2">
        <v>45772</v>
      </c>
      <c r="B87" t="s">
        <v>119</v>
      </c>
      <c r="C87" t="s">
        <v>27</v>
      </c>
      <c r="D87" t="s">
        <v>28</v>
      </c>
      <c r="E87" t="s">
        <v>29</v>
      </c>
      <c r="F87" t="s">
        <v>19</v>
      </c>
      <c r="G87" t="s">
        <v>25</v>
      </c>
      <c r="H87">
        <v>2</v>
      </c>
      <c r="I87">
        <v>45000</v>
      </c>
      <c r="J87">
        <v>90000</v>
      </c>
    </row>
    <row r="88" spans="1:10" x14ac:dyDescent="0.3">
      <c r="A88" s="2">
        <v>45771</v>
      </c>
      <c r="B88" t="s">
        <v>120</v>
      </c>
      <c r="C88" t="s">
        <v>21</v>
      </c>
      <c r="D88" t="s">
        <v>22</v>
      </c>
      <c r="E88" t="s">
        <v>23</v>
      </c>
      <c r="F88" t="s">
        <v>19</v>
      </c>
      <c r="G88" t="s">
        <v>39</v>
      </c>
      <c r="H88">
        <v>4</v>
      </c>
      <c r="I88">
        <v>800</v>
      </c>
      <c r="J88">
        <v>3200</v>
      </c>
    </row>
    <row r="89" spans="1:10" x14ac:dyDescent="0.3">
      <c r="A89" s="2">
        <v>45678</v>
      </c>
      <c r="B89" t="s">
        <v>121</v>
      </c>
      <c r="C89" t="s">
        <v>21</v>
      </c>
      <c r="D89" t="s">
        <v>22</v>
      </c>
      <c r="E89" t="s">
        <v>23</v>
      </c>
      <c r="F89" t="s">
        <v>14</v>
      </c>
      <c r="G89" t="s">
        <v>25</v>
      </c>
      <c r="H89">
        <v>2</v>
      </c>
      <c r="I89">
        <v>800</v>
      </c>
      <c r="J89">
        <v>1600</v>
      </c>
    </row>
    <row r="90" spans="1:10" x14ac:dyDescent="0.3">
      <c r="A90" s="2">
        <v>45809</v>
      </c>
      <c r="B90" t="s">
        <v>122</v>
      </c>
      <c r="C90" t="s">
        <v>17</v>
      </c>
      <c r="D90" t="s">
        <v>18</v>
      </c>
      <c r="E90" t="s">
        <v>13</v>
      </c>
      <c r="F90" t="s">
        <v>14</v>
      </c>
      <c r="G90" t="s">
        <v>15</v>
      </c>
      <c r="H90">
        <v>4</v>
      </c>
      <c r="I90">
        <v>3500</v>
      </c>
      <c r="J90">
        <v>14000</v>
      </c>
    </row>
    <row r="91" spans="1:10" x14ac:dyDescent="0.3">
      <c r="A91" s="2">
        <v>45753</v>
      </c>
      <c r="B91" t="s">
        <v>123</v>
      </c>
      <c r="C91" t="s">
        <v>36</v>
      </c>
      <c r="D91" t="s">
        <v>37</v>
      </c>
      <c r="E91" t="s">
        <v>23</v>
      </c>
      <c r="F91" t="s">
        <v>30</v>
      </c>
      <c r="G91" t="s">
        <v>39</v>
      </c>
      <c r="H91">
        <v>4</v>
      </c>
      <c r="I91">
        <v>1300</v>
      </c>
      <c r="J91">
        <v>5200</v>
      </c>
    </row>
    <row r="92" spans="1:10" x14ac:dyDescent="0.3">
      <c r="A92" s="2">
        <v>45670</v>
      </c>
      <c r="B92" t="s">
        <v>124</v>
      </c>
      <c r="C92" t="s">
        <v>27</v>
      </c>
      <c r="D92" t="s">
        <v>28</v>
      </c>
      <c r="E92" t="s">
        <v>29</v>
      </c>
      <c r="F92" t="s">
        <v>19</v>
      </c>
      <c r="G92" t="s">
        <v>43</v>
      </c>
      <c r="H92">
        <v>1</v>
      </c>
      <c r="I92">
        <v>45000</v>
      </c>
      <c r="J92">
        <v>45000</v>
      </c>
    </row>
    <row r="93" spans="1:10" x14ac:dyDescent="0.3">
      <c r="A93" s="2">
        <v>45769</v>
      </c>
      <c r="B93" t="s">
        <v>125</v>
      </c>
      <c r="C93" t="s">
        <v>27</v>
      </c>
      <c r="D93" t="s">
        <v>28</v>
      </c>
      <c r="E93" t="s">
        <v>29</v>
      </c>
      <c r="F93" t="s">
        <v>24</v>
      </c>
      <c r="G93" t="s">
        <v>39</v>
      </c>
      <c r="H93">
        <v>3</v>
      </c>
      <c r="I93">
        <v>45000</v>
      </c>
      <c r="J93">
        <v>135000</v>
      </c>
    </row>
    <row r="94" spans="1:10" x14ac:dyDescent="0.3">
      <c r="A94" s="2">
        <v>45834</v>
      </c>
      <c r="B94" t="s">
        <v>126</v>
      </c>
      <c r="C94" t="s">
        <v>11</v>
      </c>
      <c r="D94" t="s">
        <v>12</v>
      </c>
      <c r="E94" t="s">
        <v>13</v>
      </c>
      <c r="F94" t="s">
        <v>30</v>
      </c>
      <c r="G94" t="s">
        <v>39</v>
      </c>
      <c r="H94">
        <v>1</v>
      </c>
      <c r="I94">
        <v>5500</v>
      </c>
      <c r="J94">
        <v>5500</v>
      </c>
    </row>
    <row r="95" spans="1:10" x14ac:dyDescent="0.3">
      <c r="A95" s="2">
        <v>45733</v>
      </c>
      <c r="B95" t="s">
        <v>127</v>
      </c>
      <c r="C95" t="s">
        <v>27</v>
      </c>
      <c r="D95" t="s">
        <v>28</v>
      </c>
      <c r="E95" t="s">
        <v>29</v>
      </c>
      <c r="F95" t="s">
        <v>19</v>
      </c>
      <c r="G95" t="s">
        <v>25</v>
      </c>
      <c r="H95">
        <v>4</v>
      </c>
      <c r="I95">
        <v>45000</v>
      </c>
      <c r="J95">
        <v>180000</v>
      </c>
    </row>
    <row r="96" spans="1:10" x14ac:dyDescent="0.3">
      <c r="A96" s="2">
        <v>45768</v>
      </c>
      <c r="B96" t="s">
        <v>128</v>
      </c>
      <c r="C96" t="s">
        <v>21</v>
      </c>
      <c r="D96" t="s">
        <v>22</v>
      </c>
      <c r="E96" t="s">
        <v>23</v>
      </c>
      <c r="F96" t="s">
        <v>14</v>
      </c>
      <c r="G96" t="s">
        <v>15</v>
      </c>
      <c r="H96">
        <v>4</v>
      </c>
      <c r="I96">
        <v>800</v>
      </c>
      <c r="J96">
        <v>3200</v>
      </c>
    </row>
    <row r="97" spans="1:10" x14ac:dyDescent="0.3">
      <c r="A97" s="2">
        <v>45837</v>
      </c>
      <c r="B97" t="s">
        <v>129</v>
      </c>
      <c r="C97" t="s">
        <v>17</v>
      </c>
      <c r="D97" t="s">
        <v>18</v>
      </c>
      <c r="E97" t="s">
        <v>13</v>
      </c>
      <c r="F97" t="s">
        <v>14</v>
      </c>
      <c r="G97" t="s">
        <v>25</v>
      </c>
      <c r="H97">
        <v>5</v>
      </c>
      <c r="I97">
        <v>3500</v>
      </c>
      <c r="J97">
        <v>17500</v>
      </c>
    </row>
    <row r="98" spans="1:10" x14ac:dyDescent="0.3">
      <c r="A98" s="2">
        <v>45714</v>
      </c>
      <c r="B98" t="s">
        <v>130</v>
      </c>
      <c r="C98" t="s">
        <v>21</v>
      </c>
      <c r="D98" t="s">
        <v>22</v>
      </c>
      <c r="E98" t="s">
        <v>23</v>
      </c>
      <c r="F98" t="s">
        <v>14</v>
      </c>
      <c r="G98" t="s">
        <v>31</v>
      </c>
      <c r="H98">
        <v>2</v>
      </c>
      <c r="I98">
        <v>800</v>
      </c>
      <c r="J98">
        <v>1600</v>
      </c>
    </row>
    <row r="99" spans="1:10" x14ac:dyDescent="0.3">
      <c r="A99" s="2">
        <v>45779</v>
      </c>
      <c r="B99" t="s">
        <v>131</v>
      </c>
      <c r="C99" t="s">
        <v>21</v>
      </c>
      <c r="D99" t="s">
        <v>22</v>
      </c>
      <c r="E99" t="s">
        <v>23</v>
      </c>
      <c r="F99" t="s">
        <v>19</v>
      </c>
      <c r="G99" t="s">
        <v>39</v>
      </c>
      <c r="H99">
        <v>3</v>
      </c>
      <c r="I99">
        <v>800</v>
      </c>
      <c r="J99">
        <v>2400</v>
      </c>
    </row>
    <row r="100" spans="1:10" x14ac:dyDescent="0.3">
      <c r="A100" s="2">
        <v>45803</v>
      </c>
      <c r="B100" t="s">
        <v>132</v>
      </c>
      <c r="C100" t="s">
        <v>11</v>
      </c>
      <c r="D100" t="s">
        <v>12</v>
      </c>
      <c r="E100" t="s">
        <v>13</v>
      </c>
      <c r="F100" t="s">
        <v>14</v>
      </c>
      <c r="G100" t="s">
        <v>31</v>
      </c>
      <c r="H100">
        <v>2</v>
      </c>
      <c r="I100">
        <v>5500</v>
      </c>
      <c r="J100">
        <v>11000</v>
      </c>
    </row>
    <row r="101" spans="1:10" x14ac:dyDescent="0.3">
      <c r="A101" s="2">
        <v>45802</v>
      </c>
      <c r="B101" t="s">
        <v>133</v>
      </c>
      <c r="C101" t="s">
        <v>21</v>
      </c>
      <c r="D101" t="s">
        <v>22</v>
      </c>
      <c r="E101" t="s">
        <v>23</v>
      </c>
      <c r="F101" t="s">
        <v>24</v>
      </c>
      <c r="G101" t="s">
        <v>39</v>
      </c>
      <c r="H101">
        <v>2</v>
      </c>
      <c r="I101">
        <v>800</v>
      </c>
      <c r="J101">
        <v>1600</v>
      </c>
    </row>
    <row r="102" spans="1:10" x14ac:dyDescent="0.3">
      <c r="A102" s="2">
        <v>45779</v>
      </c>
      <c r="B102" t="s">
        <v>134</v>
      </c>
      <c r="C102" t="s">
        <v>33</v>
      </c>
      <c r="D102" t="s">
        <v>34</v>
      </c>
      <c r="E102" t="s">
        <v>29</v>
      </c>
      <c r="F102" t="s">
        <v>14</v>
      </c>
      <c r="G102" t="s">
        <v>39</v>
      </c>
      <c r="H102">
        <v>5</v>
      </c>
      <c r="I102">
        <v>15000</v>
      </c>
      <c r="J102">
        <v>75000</v>
      </c>
    </row>
    <row r="103" spans="1:10" x14ac:dyDescent="0.3">
      <c r="A103" s="2">
        <v>45740</v>
      </c>
      <c r="B103" t="s">
        <v>135</v>
      </c>
      <c r="C103" t="s">
        <v>21</v>
      </c>
      <c r="D103" t="s">
        <v>22</v>
      </c>
      <c r="E103" t="s">
        <v>23</v>
      </c>
      <c r="F103" t="s">
        <v>14</v>
      </c>
      <c r="G103" t="s">
        <v>25</v>
      </c>
      <c r="H103">
        <v>1</v>
      </c>
      <c r="I103">
        <v>800</v>
      </c>
      <c r="J103">
        <v>800</v>
      </c>
    </row>
    <row r="104" spans="1:10" x14ac:dyDescent="0.3">
      <c r="A104" s="2">
        <v>45728</v>
      </c>
      <c r="B104" t="s">
        <v>136</v>
      </c>
      <c r="C104" t="s">
        <v>27</v>
      </c>
      <c r="D104" t="s">
        <v>28</v>
      </c>
      <c r="E104" t="s">
        <v>29</v>
      </c>
      <c r="F104" t="s">
        <v>14</v>
      </c>
      <c r="G104" t="s">
        <v>25</v>
      </c>
      <c r="H104">
        <v>4</v>
      </c>
      <c r="I104">
        <v>45000</v>
      </c>
      <c r="J104">
        <v>180000</v>
      </c>
    </row>
    <row r="105" spans="1:10" x14ac:dyDescent="0.3">
      <c r="A105" s="2">
        <v>45816</v>
      </c>
      <c r="B105" t="s">
        <v>137</v>
      </c>
      <c r="C105" t="s">
        <v>17</v>
      </c>
      <c r="D105" t="s">
        <v>18</v>
      </c>
      <c r="E105" t="s">
        <v>13</v>
      </c>
      <c r="F105" t="s">
        <v>14</v>
      </c>
      <c r="G105" t="s">
        <v>25</v>
      </c>
      <c r="H105">
        <v>3</v>
      </c>
      <c r="I105">
        <v>3500</v>
      </c>
      <c r="J105">
        <v>10500</v>
      </c>
    </row>
    <row r="106" spans="1:10" x14ac:dyDescent="0.3">
      <c r="A106" s="2">
        <v>45747</v>
      </c>
      <c r="B106" t="s">
        <v>138</v>
      </c>
      <c r="C106" t="s">
        <v>17</v>
      </c>
      <c r="D106" t="s">
        <v>18</v>
      </c>
      <c r="E106" t="s">
        <v>13</v>
      </c>
      <c r="F106" t="s">
        <v>19</v>
      </c>
      <c r="G106" t="s">
        <v>15</v>
      </c>
      <c r="H106">
        <v>5</v>
      </c>
      <c r="I106">
        <v>3500</v>
      </c>
      <c r="J106">
        <v>17500</v>
      </c>
    </row>
    <row r="107" spans="1:10" x14ac:dyDescent="0.3">
      <c r="A107" s="2">
        <v>45783</v>
      </c>
      <c r="B107" t="s">
        <v>139</v>
      </c>
      <c r="C107" t="s">
        <v>33</v>
      </c>
      <c r="D107" t="s">
        <v>34</v>
      </c>
      <c r="E107" t="s">
        <v>29</v>
      </c>
      <c r="F107" t="s">
        <v>30</v>
      </c>
      <c r="G107" t="s">
        <v>25</v>
      </c>
      <c r="H107">
        <v>5</v>
      </c>
      <c r="I107">
        <v>15000</v>
      </c>
      <c r="J107">
        <v>75000</v>
      </c>
    </row>
    <row r="108" spans="1:10" x14ac:dyDescent="0.3">
      <c r="A108" s="2">
        <v>45788</v>
      </c>
      <c r="B108" t="s">
        <v>140</v>
      </c>
      <c r="C108" t="s">
        <v>21</v>
      </c>
      <c r="D108" t="s">
        <v>22</v>
      </c>
      <c r="E108" t="s">
        <v>23</v>
      </c>
      <c r="F108" t="s">
        <v>30</v>
      </c>
      <c r="G108" t="s">
        <v>43</v>
      </c>
      <c r="H108">
        <v>4</v>
      </c>
      <c r="I108">
        <v>800</v>
      </c>
      <c r="J108">
        <v>3200</v>
      </c>
    </row>
    <row r="109" spans="1:10" x14ac:dyDescent="0.3">
      <c r="A109" s="2">
        <v>45713</v>
      </c>
      <c r="B109" t="s">
        <v>141</v>
      </c>
      <c r="C109" t="s">
        <v>27</v>
      </c>
      <c r="D109" t="s">
        <v>28</v>
      </c>
      <c r="E109" t="s">
        <v>29</v>
      </c>
      <c r="F109" t="s">
        <v>24</v>
      </c>
      <c r="G109" t="s">
        <v>39</v>
      </c>
      <c r="H109">
        <v>2</v>
      </c>
      <c r="I109">
        <v>45000</v>
      </c>
      <c r="J109">
        <v>90000</v>
      </c>
    </row>
    <row r="110" spans="1:10" x14ac:dyDescent="0.3">
      <c r="A110" s="2">
        <v>45830</v>
      </c>
      <c r="B110" t="s">
        <v>142</v>
      </c>
      <c r="C110" t="s">
        <v>21</v>
      </c>
      <c r="D110" t="s">
        <v>22</v>
      </c>
      <c r="E110" t="s">
        <v>23</v>
      </c>
      <c r="F110" t="s">
        <v>14</v>
      </c>
      <c r="G110" t="s">
        <v>39</v>
      </c>
      <c r="H110">
        <v>5</v>
      </c>
      <c r="I110">
        <v>800</v>
      </c>
      <c r="J110">
        <v>4000</v>
      </c>
    </row>
    <row r="111" spans="1:10" x14ac:dyDescent="0.3">
      <c r="A111" s="2">
        <v>45821</v>
      </c>
      <c r="B111" t="s">
        <v>143</v>
      </c>
      <c r="C111" t="s">
        <v>17</v>
      </c>
      <c r="D111" t="s">
        <v>18</v>
      </c>
      <c r="E111" t="s">
        <v>13</v>
      </c>
      <c r="F111" t="s">
        <v>19</v>
      </c>
      <c r="G111" t="s">
        <v>25</v>
      </c>
      <c r="H111">
        <v>1</v>
      </c>
      <c r="I111">
        <v>3500</v>
      </c>
      <c r="J111">
        <v>3500</v>
      </c>
    </row>
    <row r="112" spans="1:10" x14ac:dyDescent="0.3">
      <c r="A112" s="2">
        <v>45706</v>
      </c>
      <c r="B112" t="s">
        <v>144</v>
      </c>
      <c r="C112" t="s">
        <v>36</v>
      </c>
      <c r="D112" t="s">
        <v>37</v>
      </c>
      <c r="E112" t="s">
        <v>23</v>
      </c>
      <c r="F112" t="s">
        <v>19</v>
      </c>
      <c r="G112" t="s">
        <v>43</v>
      </c>
      <c r="H112">
        <v>5</v>
      </c>
      <c r="I112">
        <v>1300</v>
      </c>
      <c r="J112">
        <v>6500</v>
      </c>
    </row>
    <row r="113" spans="1:10" x14ac:dyDescent="0.3">
      <c r="A113" s="2">
        <v>45660</v>
      </c>
      <c r="B113" t="s">
        <v>145</v>
      </c>
      <c r="C113" t="s">
        <v>27</v>
      </c>
      <c r="D113" t="s">
        <v>28</v>
      </c>
      <c r="E113" t="s">
        <v>29</v>
      </c>
      <c r="F113" t="s">
        <v>19</v>
      </c>
      <c r="G113" t="s">
        <v>25</v>
      </c>
      <c r="H113">
        <v>2</v>
      </c>
      <c r="I113">
        <v>45000</v>
      </c>
      <c r="J113">
        <v>90000</v>
      </c>
    </row>
    <row r="114" spans="1:10" x14ac:dyDescent="0.3">
      <c r="A114" s="2">
        <v>45759</v>
      </c>
      <c r="B114" t="s">
        <v>146</v>
      </c>
      <c r="C114" t="s">
        <v>11</v>
      </c>
      <c r="D114" t="s">
        <v>12</v>
      </c>
      <c r="E114" t="s">
        <v>13</v>
      </c>
      <c r="F114" t="s">
        <v>30</v>
      </c>
      <c r="G114" t="s">
        <v>25</v>
      </c>
      <c r="H114">
        <v>5</v>
      </c>
      <c r="I114">
        <v>5500</v>
      </c>
      <c r="J114">
        <v>27500</v>
      </c>
    </row>
    <row r="115" spans="1:10" x14ac:dyDescent="0.3">
      <c r="A115" s="2">
        <v>45747</v>
      </c>
      <c r="B115" t="s">
        <v>147</v>
      </c>
      <c r="C115" t="s">
        <v>33</v>
      </c>
      <c r="D115" t="s">
        <v>34</v>
      </c>
      <c r="E115" t="s">
        <v>29</v>
      </c>
      <c r="F115" t="s">
        <v>30</v>
      </c>
      <c r="G115" t="s">
        <v>31</v>
      </c>
      <c r="H115">
        <v>4</v>
      </c>
      <c r="I115">
        <v>15000</v>
      </c>
      <c r="J115">
        <v>60000</v>
      </c>
    </row>
    <row r="116" spans="1:10" x14ac:dyDescent="0.3">
      <c r="A116" s="2">
        <v>45698</v>
      </c>
      <c r="B116" t="s">
        <v>148</v>
      </c>
      <c r="C116" t="s">
        <v>11</v>
      </c>
      <c r="D116" t="s">
        <v>12</v>
      </c>
      <c r="E116" t="s">
        <v>13</v>
      </c>
      <c r="F116" t="s">
        <v>30</v>
      </c>
      <c r="G116" t="s">
        <v>15</v>
      </c>
      <c r="H116">
        <v>1</v>
      </c>
      <c r="I116">
        <v>5500</v>
      </c>
      <c r="J116">
        <v>5500</v>
      </c>
    </row>
    <row r="117" spans="1:10" x14ac:dyDescent="0.3">
      <c r="A117" s="2">
        <v>45818</v>
      </c>
      <c r="B117" t="s">
        <v>149</v>
      </c>
      <c r="C117" t="s">
        <v>21</v>
      </c>
      <c r="D117" t="s">
        <v>22</v>
      </c>
      <c r="E117" t="s">
        <v>23</v>
      </c>
      <c r="F117" t="s">
        <v>30</v>
      </c>
      <c r="G117" t="s">
        <v>39</v>
      </c>
      <c r="H117">
        <v>4</v>
      </c>
      <c r="I117">
        <v>800</v>
      </c>
      <c r="J117">
        <v>3200</v>
      </c>
    </row>
    <row r="118" spans="1:10" x14ac:dyDescent="0.3">
      <c r="A118" s="2">
        <v>45798</v>
      </c>
      <c r="B118" t="s">
        <v>150</v>
      </c>
      <c r="C118" t="s">
        <v>36</v>
      </c>
      <c r="D118" t="s">
        <v>37</v>
      </c>
      <c r="E118" t="s">
        <v>23</v>
      </c>
      <c r="F118" t="s">
        <v>19</v>
      </c>
      <c r="G118" t="s">
        <v>39</v>
      </c>
      <c r="H118">
        <v>2</v>
      </c>
      <c r="I118">
        <v>1300</v>
      </c>
      <c r="J118">
        <v>2600</v>
      </c>
    </row>
    <row r="119" spans="1:10" x14ac:dyDescent="0.3">
      <c r="A119" s="2">
        <v>45704</v>
      </c>
      <c r="B119" t="s">
        <v>151</v>
      </c>
      <c r="C119" t="s">
        <v>27</v>
      </c>
      <c r="D119" t="s">
        <v>28</v>
      </c>
      <c r="E119" t="s">
        <v>29</v>
      </c>
      <c r="F119" t="s">
        <v>24</v>
      </c>
      <c r="G119" t="s">
        <v>31</v>
      </c>
      <c r="H119">
        <v>2</v>
      </c>
      <c r="I119">
        <v>45000</v>
      </c>
      <c r="J119">
        <v>90000</v>
      </c>
    </row>
    <row r="120" spans="1:10" x14ac:dyDescent="0.3">
      <c r="A120" s="2">
        <v>45766</v>
      </c>
      <c r="B120" t="s">
        <v>152</v>
      </c>
      <c r="C120" t="s">
        <v>21</v>
      </c>
      <c r="D120" t="s">
        <v>22</v>
      </c>
      <c r="E120" t="s">
        <v>23</v>
      </c>
      <c r="F120" t="s">
        <v>19</v>
      </c>
      <c r="G120" t="s">
        <v>43</v>
      </c>
      <c r="H120">
        <v>1</v>
      </c>
      <c r="I120">
        <v>800</v>
      </c>
      <c r="J120">
        <v>800</v>
      </c>
    </row>
    <row r="121" spans="1:10" x14ac:dyDescent="0.3">
      <c r="A121" s="2">
        <v>45834</v>
      </c>
      <c r="B121" t="s">
        <v>153</v>
      </c>
      <c r="C121" t="s">
        <v>17</v>
      </c>
      <c r="D121" t="s">
        <v>18</v>
      </c>
      <c r="E121" t="s">
        <v>13</v>
      </c>
      <c r="F121" t="s">
        <v>14</v>
      </c>
      <c r="G121" t="s">
        <v>31</v>
      </c>
      <c r="H121">
        <v>1</v>
      </c>
      <c r="I121">
        <v>3500</v>
      </c>
      <c r="J121">
        <v>3500</v>
      </c>
    </row>
    <row r="122" spans="1:10" x14ac:dyDescent="0.3">
      <c r="A122" s="2">
        <v>45716</v>
      </c>
      <c r="B122" t="s">
        <v>154</v>
      </c>
      <c r="C122" t="s">
        <v>17</v>
      </c>
      <c r="D122" t="s">
        <v>18</v>
      </c>
      <c r="E122" t="s">
        <v>13</v>
      </c>
      <c r="F122" t="s">
        <v>14</v>
      </c>
      <c r="G122" t="s">
        <v>39</v>
      </c>
      <c r="H122">
        <v>1</v>
      </c>
      <c r="I122">
        <v>3500</v>
      </c>
      <c r="J122">
        <v>3500</v>
      </c>
    </row>
    <row r="123" spans="1:10" x14ac:dyDescent="0.3">
      <c r="A123" s="2">
        <v>45762</v>
      </c>
      <c r="B123" t="s">
        <v>155</v>
      </c>
      <c r="C123" t="s">
        <v>17</v>
      </c>
      <c r="D123" t="s">
        <v>18</v>
      </c>
      <c r="E123" t="s">
        <v>13</v>
      </c>
      <c r="F123" t="s">
        <v>19</v>
      </c>
      <c r="G123" t="s">
        <v>43</v>
      </c>
      <c r="H123">
        <v>5</v>
      </c>
      <c r="I123">
        <v>3500</v>
      </c>
      <c r="J123">
        <v>17500</v>
      </c>
    </row>
    <row r="124" spans="1:10" x14ac:dyDescent="0.3">
      <c r="A124" s="2">
        <v>45712</v>
      </c>
      <c r="B124" t="s">
        <v>156</v>
      </c>
      <c r="C124" t="s">
        <v>36</v>
      </c>
      <c r="D124" t="s">
        <v>37</v>
      </c>
      <c r="E124" t="s">
        <v>23</v>
      </c>
      <c r="F124" t="s">
        <v>30</v>
      </c>
      <c r="G124" t="s">
        <v>43</v>
      </c>
      <c r="H124">
        <v>5</v>
      </c>
      <c r="I124">
        <v>1300</v>
      </c>
      <c r="J124">
        <v>6500</v>
      </c>
    </row>
    <row r="125" spans="1:10" x14ac:dyDescent="0.3">
      <c r="A125" s="2">
        <v>45660</v>
      </c>
      <c r="B125" t="s">
        <v>157</v>
      </c>
      <c r="C125" t="s">
        <v>21</v>
      </c>
      <c r="D125" t="s">
        <v>22</v>
      </c>
      <c r="E125" t="s">
        <v>23</v>
      </c>
      <c r="F125" t="s">
        <v>19</v>
      </c>
      <c r="G125" t="s">
        <v>39</v>
      </c>
      <c r="H125">
        <v>5</v>
      </c>
      <c r="I125">
        <v>800</v>
      </c>
      <c r="J125">
        <v>4000</v>
      </c>
    </row>
    <row r="126" spans="1:10" x14ac:dyDescent="0.3">
      <c r="A126" s="2">
        <v>45740</v>
      </c>
      <c r="B126" t="s">
        <v>158</v>
      </c>
      <c r="C126" t="s">
        <v>27</v>
      </c>
      <c r="D126" t="s">
        <v>28</v>
      </c>
      <c r="E126" t="s">
        <v>29</v>
      </c>
      <c r="F126" t="s">
        <v>14</v>
      </c>
      <c r="G126" t="s">
        <v>43</v>
      </c>
      <c r="H126">
        <v>1</v>
      </c>
      <c r="I126">
        <v>45000</v>
      </c>
      <c r="J126">
        <v>45000</v>
      </c>
    </row>
    <row r="127" spans="1:10" x14ac:dyDescent="0.3">
      <c r="A127" s="2">
        <v>45661</v>
      </c>
      <c r="B127" t="s">
        <v>159</v>
      </c>
      <c r="C127" t="s">
        <v>36</v>
      </c>
      <c r="D127" t="s">
        <v>37</v>
      </c>
      <c r="E127" t="s">
        <v>23</v>
      </c>
      <c r="F127" t="s">
        <v>14</v>
      </c>
      <c r="G127" t="s">
        <v>43</v>
      </c>
      <c r="H127">
        <v>2</v>
      </c>
      <c r="I127">
        <v>1300</v>
      </c>
      <c r="J127">
        <v>2600</v>
      </c>
    </row>
    <row r="128" spans="1:10" x14ac:dyDescent="0.3">
      <c r="A128" s="2">
        <v>45752</v>
      </c>
      <c r="B128" t="s">
        <v>160</v>
      </c>
      <c r="C128" t="s">
        <v>33</v>
      </c>
      <c r="D128" t="s">
        <v>34</v>
      </c>
      <c r="E128" t="s">
        <v>29</v>
      </c>
      <c r="F128" t="s">
        <v>24</v>
      </c>
      <c r="G128" t="s">
        <v>31</v>
      </c>
      <c r="H128">
        <v>3</v>
      </c>
      <c r="I128">
        <v>15000</v>
      </c>
      <c r="J128">
        <v>45000</v>
      </c>
    </row>
    <row r="129" spans="1:10" x14ac:dyDescent="0.3">
      <c r="A129" s="2">
        <v>45711</v>
      </c>
      <c r="B129" t="s">
        <v>161</v>
      </c>
      <c r="C129" t="s">
        <v>11</v>
      </c>
      <c r="D129" t="s">
        <v>12</v>
      </c>
      <c r="E129" t="s">
        <v>13</v>
      </c>
      <c r="F129" t="s">
        <v>14</v>
      </c>
      <c r="G129" t="s">
        <v>15</v>
      </c>
      <c r="H129">
        <v>1</v>
      </c>
      <c r="I129">
        <v>5500</v>
      </c>
      <c r="J129">
        <v>5500</v>
      </c>
    </row>
    <row r="130" spans="1:10" x14ac:dyDescent="0.3">
      <c r="A130" s="2">
        <v>45769</v>
      </c>
      <c r="B130" t="s">
        <v>162</v>
      </c>
      <c r="C130" t="s">
        <v>21</v>
      </c>
      <c r="D130" t="s">
        <v>22</v>
      </c>
      <c r="E130" t="s">
        <v>23</v>
      </c>
      <c r="F130" t="s">
        <v>14</v>
      </c>
      <c r="G130" t="s">
        <v>31</v>
      </c>
      <c r="H130">
        <v>3</v>
      </c>
      <c r="I130">
        <v>800</v>
      </c>
      <c r="J130">
        <v>2400</v>
      </c>
    </row>
    <row r="131" spans="1:10" x14ac:dyDescent="0.3">
      <c r="A131" s="2">
        <v>45760</v>
      </c>
      <c r="B131" t="s">
        <v>163</v>
      </c>
      <c r="C131" t="s">
        <v>36</v>
      </c>
      <c r="D131" t="s">
        <v>37</v>
      </c>
      <c r="E131" t="s">
        <v>23</v>
      </c>
      <c r="F131" t="s">
        <v>30</v>
      </c>
      <c r="G131" t="s">
        <v>25</v>
      </c>
      <c r="H131">
        <v>2</v>
      </c>
      <c r="I131">
        <v>1300</v>
      </c>
      <c r="J131">
        <v>2600</v>
      </c>
    </row>
    <row r="132" spans="1:10" x14ac:dyDescent="0.3">
      <c r="A132" s="2">
        <v>45707</v>
      </c>
      <c r="B132" t="s">
        <v>164</v>
      </c>
      <c r="C132" t="s">
        <v>33</v>
      </c>
      <c r="D132" t="s">
        <v>34</v>
      </c>
      <c r="E132" t="s">
        <v>29</v>
      </c>
      <c r="F132" t="s">
        <v>24</v>
      </c>
      <c r="G132" t="s">
        <v>15</v>
      </c>
      <c r="H132">
        <v>3</v>
      </c>
      <c r="I132">
        <v>15000</v>
      </c>
      <c r="J132">
        <v>45000</v>
      </c>
    </row>
    <row r="133" spans="1:10" x14ac:dyDescent="0.3">
      <c r="A133" s="2">
        <v>45823</v>
      </c>
      <c r="B133" t="s">
        <v>165</v>
      </c>
      <c r="C133" t="s">
        <v>27</v>
      </c>
      <c r="D133" t="s">
        <v>28</v>
      </c>
      <c r="E133" t="s">
        <v>29</v>
      </c>
      <c r="F133" t="s">
        <v>30</v>
      </c>
      <c r="G133" t="s">
        <v>25</v>
      </c>
      <c r="H133">
        <v>2</v>
      </c>
      <c r="I133">
        <v>45000</v>
      </c>
      <c r="J133">
        <v>90000</v>
      </c>
    </row>
    <row r="134" spans="1:10" x14ac:dyDescent="0.3">
      <c r="A134" s="2">
        <v>45738</v>
      </c>
      <c r="B134" t="s">
        <v>166</v>
      </c>
      <c r="C134" t="s">
        <v>21</v>
      </c>
      <c r="D134" t="s">
        <v>22</v>
      </c>
      <c r="E134" t="s">
        <v>23</v>
      </c>
      <c r="F134" t="s">
        <v>14</v>
      </c>
      <c r="G134" t="s">
        <v>25</v>
      </c>
      <c r="H134">
        <v>2</v>
      </c>
      <c r="I134">
        <v>800</v>
      </c>
      <c r="J134">
        <v>1600</v>
      </c>
    </row>
    <row r="135" spans="1:10" x14ac:dyDescent="0.3">
      <c r="A135" s="2">
        <v>45802</v>
      </c>
      <c r="B135" t="s">
        <v>167</v>
      </c>
      <c r="C135" t="s">
        <v>33</v>
      </c>
      <c r="D135" t="s">
        <v>34</v>
      </c>
      <c r="E135" t="s">
        <v>29</v>
      </c>
      <c r="F135" t="s">
        <v>14</v>
      </c>
      <c r="G135" t="s">
        <v>25</v>
      </c>
      <c r="H135">
        <v>4</v>
      </c>
      <c r="I135">
        <v>15000</v>
      </c>
      <c r="J135">
        <v>60000</v>
      </c>
    </row>
    <row r="136" spans="1:10" x14ac:dyDescent="0.3">
      <c r="A136" s="2">
        <v>45691</v>
      </c>
      <c r="B136" t="s">
        <v>168</v>
      </c>
      <c r="C136" t="s">
        <v>36</v>
      </c>
      <c r="D136" t="s">
        <v>37</v>
      </c>
      <c r="E136" t="s">
        <v>23</v>
      </c>
      <c r="F136" t="s">
        <v>14</v>
      </c>
      <c r="G136" t="s">
        <v>31</v>
      </c>
      <c r="H136">
        <v>5</v>
      </c>
      <c r="I136">
        <v>1300</v>
      </c>
      <c r="J136">
        <v>6500</v>
      </c>
    </row>
    <row r="137" spans="1:10" x14ac:dyDescent="0.3">
      <c r="A137" s="2">
        <v>45700</v>
      </c>
      <c r="B137" t="s">
        <v>169</v>
      </c>
      <c r="C137" t="s">
        <v>17</v>
      </c>
      <c r="D137" t="s">
        <v>18</v>
      </c>
      <c r="E137" t="s">
        <v>13</v>
      </c>
      <c r="F137" t="s">
        <v>19</v>
      </c>
      <c r="G137" t="s">
        <v>43</v>
      </c>
      <c r="H137">
        <v>3</v>
      </c>
      <c r="I137">
        <v>3500</v>
      </c>
      <c r="J137">
        <v>10500</v>
      </c>
    </row>
    <row r="138" spans="1:10" x14ac:dyDescent="0.3">
      <c r="A138" s="2">
        <v>45665</v>
      </c>
      <c r="B138" t="s">
        <v>170</v>
      </c>
      <c r="C138" t="s">
        <v>11</v>
      </c>
      <c r="D138" t="s">
        <v>12</v>
      </c>
      <c r="E138" t="s">
        <v>13</v>
      </c>
      <c r="F138" t="s">
        <v>30</v>
      </c>
      <c r="G138" t="s">
        <v>25</v>
      </c>
      <c r="H138">
        <v>1</v>
      </c>
      <c r="I138">
        <v>5500</v>
      </c>
      <c r="J138">
        <v>5500</v>
      </c>
    </row>
    <row r="139" spans="1:10" x14ac:dyDescent="0.3">
      <c r="A139" s="2">
        <v>45812</v>
      </c>
      <c r="B139" t="s">
        <v>171</v>
      </c>
      <c r="C139" t="s">
        <v>21</v>
      </c>
      <c r="D139" t="s">
        <v>22</v>
      </c>
      <c r="E139" t="s">
        <v>23</v>
      </c>
      <c r="F139" t="s">
        <v>30</v>
      </c>
      <c r="G139" t="s">
        <v>31</v>
      </c>
      <c r="H139">
        <v>5</v>
      </c>
      <c r="I139">
        <v>800</v>
      </c>
      <c r="J139">
        <v>4000</v>
      </c>
    </row>
    <row r="140" spans="1:10" x14ac:dyDescent="0.3">
      <c r="A140" s="2">
        <v>45708</v>
      </c>
      <c r="B140" t="s">
        <v>172</v>
      </c>
      <c r="C140" t="s">
        <v>17</v>
      </c>
      <c r="D140" t="s">
        <v>18</v>
      </c>
      <c r="E140" t="s">
        <v>13</v>
      </c>
      <c r="F140" t="s">
        <v>14</v>
      </c>
      <c r="G140" t="s">
        <v>39</v>
      </c>
      <c r="H140">
        <v>2</v>
      </c>
      <c r="I140">
        <v>3500</v>
      </c>
      <c r="J140">
        <v>7000</v>
      </c>
    </row>
    <row r="141" spans="1:10" x14ac:dyDescent="0.3">
      <c r="A141" s="2">
        <v>45718</v>
      </c>
      <c r="B141" t="s">
        <v>173</v>
      </c>
      <c r="C141" t="s">
        <v>36</v>
      </c>
      <c r="D141" t="s">
        <v>37</v>
      </c>
      <c r="E141" t="s">
        <v>23</v>
      </c>
      <c r="F141" t="s">
        <v>14</v>
      </c>
      <c r="G141" t="s">
        <v>43</v>
      </c>
      <c r="H141">
        <v>5</v>
      </c>
      <c r="I141">
        <v>1300</v>
      </c>
      <c r="J141">
        <v>6500</v>
      </c>
    </row>
    <row r="142" spans="1:10" x14ac:dyDescent="0.3">
      <c r="A142" s="2">
        <v>45669</v>
      </c>
      <c r="B142" t="s">
        <v>174</v>
      </c>
      <c r="C142" t="s">
        <v>33</v>
      </c>
      <c r="D142" t="s">
        <v>34</v>
      </c>
      <c r="E142" t="s">
        <v>29</v>
      </c>
      <c r="F142" t="s">
        <v>24</v>
      </c>
      <c r="G142" t="s">
        <v>31</v>
      </c>
      <c r="H142">
        <v>1</v>
      </c>
      <c r="I142">
        <v>15000</v>
      </c>
      <c r="J142">
        <v>15000</v>
      </c>
    </row>
    <row r="143" spans="1:10" x14ac:dyDescent="0.3">
      <c r="A143" s="2">
        <v>45683</v>
      </c>
      <c r="B143" t="s">
        <v>175</v>
      </c>
      <c r="C143" t="s">
        <v>27</v>
      </c>
      <c r="D143" t="s">
        <v>28</v>
      </c>
      <c r="E143" t="s">
        <v>29</v>
      </c>
      <c r="F143" t="s">
        <v>19</v>
      </c>
      <c r="G143" t="s">
        <v>43</v>
      </c>
      <c r="H143">
        <v>3</v>
      </c>
      <c r="I143">
        <v>45000</v>
      </c>
      <c r="J143">
        <v>135000</v>
      </c>
    </row>
    <row r="144" spans="1:10" x14ac:dyDescent="0.3">
      <c r="A144" s="2">
        <v>45705</v>
      </c>
      <c r="B144" t="s">
        <v>176</v>
      </c>
      <c r="C144" t="s">
        <v>21</v>
      </c>
      <c r="D144" t="s">
        <v>22</v>
      </c>
      <c r="E144" t="s">
        <v>23</v>
      </c>
      <c r="F144" t="s">
        <v>14</v>
      </c>
      <c r="G144" t="s">
        <v>31</v>
      </c>
      <c r="H144">
        <v>4</v>
      </c>
      <c r="I144">
        <v>800</v>
      </c>
      <c r="J144">
        <v>3200</v>
      </c>
    </row>
    <row r="145" spans="1:10" x14ac:dyDescent="0.3">
      <c r="A145" s="2">
        <v>45837</v>
      </c>
      <c r="B145" t="s">
        <v>177</v>
      </c>
      <c r="C145" t="s">
        <v>36</v>
      </c>
      <c r="D145" t="s">
        <v>37</v>
      </c>
      <c r="E145" t="s">
        <v>23</v>
      </c>
      <c r="F145" t="s">
        <v>24</v>
      </c>
      <c r="G145" t="s">
        <v>31</v>
      </c>
      <c r="H145">
        <v>4</v>
      </c>
      <c r="I145">
        <v>1300</v>
      </c>
      <c r="J145">
        <v>5200</v>
      </c>
    </row>
    <row r="146" spans="1:10" x14ac:dyDescent="0.3">
      <c r="A146" s="2">
        <v>45735</v>
      </c>
      <c r="B146" t="s">
        <v>178</v>
      </c>
      <c r="C146" t="s">
        <v>33</v>
      </c>
      <c r="D146" t="s">
        <v>34</v>
      </c>
      <c r="E146" t="s">
        <v>29</v>
      </c>
      <c r="F146" t="s">
        <v>14</v>
      </c>
      <c r="G146" t="s">
        <v>31</v>
      </c>
      <c r="H146">
        <v>3</v>
      </c>
      <c r="I146">
        <v>15000</v>
      </c>
      <c r="J146">
        <v>45000</v>
      </c>
    </row>
    <row r="147" spans="1:10" x14ac:dyDescent="0.3">
      <c r="A147" s="2">
        <v>45660</v>
      </c>
      <c r="B147" t="s">
        <v>179</v>
      </c>
      <c r="C147" t="s">
        <v>36</v>
      </c>
      <c r="D147" t="s">
        <v>37</v>
      </c>
      <c r="E147" t="s">
        <v>23</v>
      </c>
      <c r="F147" t="s">
        <v>19</v>
      </c>
      <c r="G147" t="s">
        <v>25</v>
      </c>
      <c r="H147">
        <v>5</v>
      </c>
      <c r="I147">
        <v>1300</v>
      </c>
      <c r="J147">
        <v>6500</v>
      </c>
    </row>
    <row r="148" spans="1:10" x14ac:dyDescent="0.3">
      <c r="A148" s="2">
        <v>45695</v>
      </c>
      <c r="B148" t="s">
        <v>137</v>
      </c>
      <c r="C148" t="s">
        <v>17</v>
      </c>
      <c r="D148" t="s">
        <v>18</v>
      </c>
      <c r="E148" t="s">
        <v>13</v>
      </c>
      <c r="F148" t="s">
        <v>19</v>
      </c>
      <c r="G148" t="s">
        <v>43</v>
      </c>
      <c r="H148">
        <v>5</v>
      </c>
      <c r="I148">
        <v>3500</v>
      </c>
      <c r="J148">
        <v>17500</v>
      </c>
    </row>
    <row r="149" spans="1:10" x14ac:dyDescent="0.3">
      <c r="A149" s="2">
        <v>45696</v>
      </c>
      <c r="B149" t="s">
        <v>180</v>
      </c>
      <c r="C149" t="s">
        <v>27</v>
      </c>
      <c r="D149" t="s">
        <v>28</v>
      </c>
      <c r="E149" t="s">
        <v>29</v>
      </c>
      <c r="F149" t="s">
        <v>14</v>
      </c>
      <c r="G149" t="s">
        <v>31</v>
      </c>
      <c r="H149">
        <v>4</v>
      </c>
      <c r="I149">
        <v>45000</v>
      </c>
      <c r="J149">
        <v>180000</v>
      </c>
    </row>
    <row r="150" spans="1:10" x14ac:dyDescent="0.3">
      <c r="A150" s="2">
        <v>45802</v>
      </c>
      <c r="B150" t="s">
        <v>181</v>
      </c>
      <c r="C150" t="s">
        <v>21</v>
      </c>
      <c r="D150" t="s">
        <v>22</v>
      </c>
      <c r="E150" t="s">
        <v>23</v>
      </c>
      <c r="F150" t="s">
        <v>30</v>
      </c>
      <c r="G150" t="s">
        <v>43</v>
      </c>
      <c r="H150">
        <v>4</v>
      </c>
      <c r="I150">
        <v>800</v>
      </c>
      <c r="J150">
        <v>3200</v>
      </c>
    </row>
    <row r="151" spans="1:10" x14ac:dyDescent="0.3">
      <c r="A151" s="2">
        <v>45724</v>
      </c>
      <c r="B151" t="s">
        <v>182</v>
      </c>
      <c r="C151" t="s">
        <v>27</v>
      </c>
      <c r="D151" t="s">
        <v>28</v>
      </c>
      <c r="E151" t="s">
        <v>29</v>
      </c>
      <c r="F151" t="s">
        <v>14</v>
      </c>
      <c r="G151" t="s">
        <v>31</v>
      </c>
      <c r="H151">
        <v>4</v>
      </c>
      <c r="I151">
        <v>45000</v>
      </c>
      <c r="J151">
        <v>180000</v>
      </c>
    </row>
  </sheetData>
  <autoFilter ref="A1:J151" xr:uid="{00000000-0001-0000-00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
  <sheetViews>
    <sheetView workbookViewId="0">
      <selection activeCell="E22" sqref="E22"/>
    </sheetView>
  </sheetViews>
  <sheetFormatPr defaultRowHeight="14.4" x14ac:dyDescent="0.3"/>
  <cols>
    <col min="1" max="1" width="14.88671875" bestFit="1" customWidth="1"/>
    <col min="2" max="2" width="18.21875" bestFit="1" customWidth="1"/>
    <col min="3" max="3" width="13" bestFit="1" customWidth="1"/>
    <col min="4" max="4" width="14.21875" bestFit="1" customWidth="1"/>
    <col min="5" max="5" width="16" bestFit="1" customWidth="1"/>
    <col min="6" max="6" width="12.77734375" bestFit="1" customWidth="1"/>
    <col min="7" max="7" width="10.109375" bestFit="1" customWidth="1"/>
    <col min="9" max="9" width="12.5546875" bestFit="1" customWidth="1"/>
    <col min="10" max="10" width="14.88671875" bestFit="1" customWidth="1"/>
    <col min="14" max="14" width="12.5546875" bestFit="1" customWidth="1"/>
    <col min="15" max="16" width="14.88671875" bestFit="1" customWidth="1"/>
  </cols>
  <sheetData>
    <row r="1" spans="1:10" x14ac:dyDescent="0.3">
      <c r="A1" s="21" t="s">
        <v>2</v>
      </c>
      <c r="B1" s="22" t="s">
        <v>3</v>
      </c>
      <c r="C1" s="22" t="s">
        <v>4</v>
      </c>
      <c r="D1" s="22" t="s">
        <v>183</v>
      </c>
      <c r="E1" s="22" t="s">
        <v>184</v>
      </c>
      <c r="F1" s="9" t="s">
        <v>7</v>
      </c>
      <c r="G1" s="11" t="s">
        <v>201</v>
      </c>
      <c r="I1" s="3" t="s">
        <v>193</v>
      </c>
      <c r="J1" t="s">
        <v>202</v>
      </c>
    </row>
    <row r="2" spans="1:10" x14ac:dyDescent="0.3">
      <c r="A2" s="19" t="s">
        <v>27</v>
      </c>
      <c r="B2" s="5" t="s">
        <v>28</v>
      </c>
      <c r="C2" s="5" t="s">
        <v>29</v>
      </c>
      <c r="D2" s="5">
        <v>40000</v>
      </c>
      <c r="E2" s="5">
        <v>45000</v>
      </c>
      <c r="F2" s="5">
        <v>95</v>
      </c>
      <c r="G2" s="20">
        <f>(E2-D2)*F2</f>
        <v>475000</v>
      </c>
      <c r="I2" s="4" t="s">
        <v>27</v>
      </c>
      <c r="J2">
        <v>95</v>
      </c>
    </row>
    <row r="3" spans="1:10" x14ac:dyDescent="0.3">
      <c r="A3" s="19" t="s">
        <v>33</v>
      </c>
      <c r="B3" s="5" t="s">
        <v>34</v>
      </c>
      <c r="C3" s="5" t="s">
        <v>29</v>
      </c>
      <c r="D3" s="5">
        <v>12000</v>
      </c>
      <c r="E3" s="5">
        <v>15000</v>
      </c>
      <c r="F3" s="5">
        <v>83</v>
      </c>
      <c r="G3" s="20">
        <f t="shared" ref="G3:G7" si="0">(E3-D3)*F3</f>
        <v>249000</v>
      </c>
      <c r="I3" s="4" t="s">
        <v>33</v>
      </c>
      <c r="J3">
        <v>83</v>
      </c>
    </row>
    <row r="4" spans="1:10" x14ac:dyDescent="0.3">
      <c r="A4" s="19" t="s">
        <v>17</v>
      </c>
      <c r="B4" s="5" t="s">
        <v>18</v>
      </c>
      <c r="C4" s="5" t="s">
        <v>13</v>
      </c>
      <c r="D4" s="5">
        <v>2800</v>
      </c>
      <c r="E4" s="5">
        <v>3500</v>
      </c>
      <c r="F4" s="5">
        <v>73</v>
      </c>
      <c r="G4" s="20">
        <f t="shared" si="0"/>
        <v>51100</v>
      </c>
      <c r="I4" s="4" t="s">
        <v>17</v>
      </c>
      <c r="J4">
        <v>73</v>
      </c>
    </row>
    <row r="5" spans="1:10" x14ac:dyDescent="0.3">
      <c r="A5" s="19" t="s">
        <v>11</v>
      </c>
      <c r="B5" s="5" t="s">
        <v>12</v>
      </c>
      <c r="C5" s="5" t="s">
        <v>13</v>
      </c>
      <c r="D5" s="5">
        <v>4500</v>
      </c>
      <c r="E5" s="5">
        <v>5500</v>
      </c>
      <c r="F5" s="5">
        <v>52</v>
      </c>
      <c r="G5" s="20">
        <f t="shared" si="0"/>
        <v>52000</v>
      </c>
      <c r="I5" s="4" t="s">
        <v>11</v>
      </c>
      <c r="J5">
        <v>52</v>
      </c>
    </row>
    <row r="6" spans="1:10" x14ac:dyDescent="0.3">
      <c r="A6" s="19" t="s">
        <v>21</v>
      </c>
      <c r="B6" s="5" t="s">
        <v>22</v>
      </c>
      <c r="C6" s="5" t="s">
        <v>23</v>
      </c>
      <c r="D6" s="5">
        <v>500</v>
      </c>
      <c r="E6" s="5">
        <v>800</v>
      </c>
      <c r="F6" s="5">
        <v>73</v>
      </c>
      <c r="G6" s="20">
        <f t="shared" si="0"/>
        <v>21900</v>
      </c>
      <c r="I6" s="4" t="s">
        <v>21</v>
      </c>
      <c r="J6">
        <v>73</v>
      </c>
    </row>
    <row r="7" spans="1:10" x14ac:dyDescent="0.3">
      <c r="A7" s="18" t="s">
        <v>36</v>
      </c>
      <c r="B7" s="23" t="s">
        <v>37</v>
      </c>
      <c r="C7" s="23" t="s">
        <v>23</v>
      </c>
      <c r="D7" s="23">
        <v>900</v>
      </c>
      <c r="E7" s="23">
        <v>1300</v>
      </c>
      <c r="F7" s="23">
        <v>95</v>
      </c>
      <c r="G7" s="17">
        <f t="shared" si="0"/>
        <v>38000</v>
      </c>
      <c r="I7" s="4" t="s">
        <v>36</v>
      </c>
      <c r="J7">
        <v>95</v>
      </c>
    </row>
    <row r="8" spans="1:10" x14ac:dyDescent="0.3">
      <c r="A8" s="18" t="s">
        <v>196</v>
      </c>
      <c r="B8" s="23">
        <f>SUBTOTAL(103,Table3[Product_Name])</f>
        <v>6</v>
      </c>
      <c r="C8" s="23"/>
      <c r="D8" s="23"/>
      <c r="E8" s="23"/>
      <c r="F8" s="23">
        <f>SUBTOTAL(109,Table3[Quantity])</f>
        <v>471</v>
      </c>
      <c r="G8" s="17">
        <f>SUBTOTAL(109,Table3[Profit])</f>
        <v>887000</v>
      </c>
      <c r="I8" s="4" t="s">
        <v>194</v>
      </c>
      <c r="J8">
        <v>471</v>
      </c>
    </row>
  </sheetData>
  <conditionalFormatting sqref="G2:G7">
    <cfRule type="dataBar" priority="1">
      <dataBar>
        <cfvo type="min"/>
        <cfvo type="max"/>
        <color rgb="FF638EC6"/>
      </dataBar>
      <extLst>
        <ext xmlns:x14="http://schemas.microsoft.com/office/spreadsheetml/2009/9/main" uri="{B025F937-C7B1-47D3-B67F-A62EFF666E3E}">
          <x14:id>{6E33BF81-AFA5-4728-AA69-9A9D06E5D2CB}</x14:id>
        </ext>
      </extLst>
    </cfRule>
  </conditionalFormatting>
  <pageMargins left="0.75" right="0.75" top="1" bottom="1" header="0.5" footer="0.5"/>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E33BF81-AFA5-4728-AA69-9A9D06E5D2CB}">
            <x14:dataBar minLength="0" maxLength="100" border="1" negativeBarBorderColorSameAsPositive="0">
              <x14:cfvo type="autoMin"/>
              <x14:cfvo type="autoMax"/>
              <x14:borderColor rgb="FF638EC6"/>
              <x14:negativeFillColor rgb="FFFF0000"/>
              <x14:negativeBorderColor rgb="FFFF0000"/>
              <x14:axisColor rgb="FF000000"/>
            </x14:dataBar>
          </x14:cfRule>
          <xm:sqref>G2:G7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workbookViewId="0">
      <selection activeCell="F22" sqref="F22:G22"/>
    </sheetView>
  </sheetViews>
  <sheetFormatPr defaultRowHeight="14.4" x14ac:dyDescent="0.3"/>
  <cols>
    <col min="1" max="2" width="8.6640625" customWidth="1"/>
    <col min="3" max="3" width="13.44140625" customWidth="1"/>
    <col min="4" max="4" width="15.21875" bestFit="1" customWidth="1"/>
    <col min="5" max="5" width="12.88671875" bestFit="1" customWidth="1"/>
    <col min="6" max="6" width="12.44140625" customWidth="1"/>
    <col min="7" max="7" width="14.88671875" bestFit="1" customWidth="1"/>
    <col min="8" max="8" width="7.44140625" customWidth="1"/>
    <col min="9" max="9" width="4.6640625" customWidth="1"/>
  </cols>
  <sheetData>
    <row r="1" spans="1:9" x14ac:dyDescent="0.3">
      <c r="A1" s="10" t="s">
        <v>5</v>
      </c>
      <c r="B1" s="9" t="s">
        <v>185</v>
      </c>
      <c r="C1" s="9" t="s">
        <v>186</v>
      </c>
      <c r="D1" s="9" t="s">
        <v>197</v>
      </c>
      <c r="E1" s="11" t="s">
        <v>198</v>
      </c>
      <c r="F1" s="25"/>
    </row>
    <row r="2" spans="1:9" x14ac:dyDescent="0.3">
      <c r="A2" s="5" t="s">
        <v>19</v>
      </c>
      <c r="B2" s="5" t="s">
        <v>187</v>
      </c>
      <c r="C2" s="5">
        <v>212910</v>
      </c>
      <c r="D2" s="5">
        <v>423800</v>
      </c>
      <c r="E2" s="24">
        <f>Table1[[#This Row],[Actual sales]]/Table1[[#This Row],[Sales_Target]]</f>
        <v>1.9905124230895683</v>
      </c>
    </row>
    <row r="3" spans="1:9" x14ac:dyDescent="0.3">
      <c r="A3" s="5" t="s">
        <v>19</v>
      </c>
      <c r="B3" s="5" t="s">
        <v>188</v>
      </c>
      <c r="C3" s="5">
        <v>391076</v>
      </c>
      <c r="D3" s="5">
        <v>132300</v>
      </c>
      <c r="E3" s="24">
        <f>Table1[[#This Row],[Actual sales]]/Table1[[#This Row],[Sales_Target]]</f>
        <v>0.33829741533614949</v>
      </c>
    </row>
    <row r="4" spans="1:9" x14ac:dyDescent="0.3">
      <c r="A4" s="5" t="s">
        <v>19</v>
      </c>
      <c r="B4" s="5" t="s">
        <v>189</v>
      </c>
      <c r="C4" s="5">
        <v>275703</v>
      </c>
      <c r="D4" s="5">
        <v>211500</v>
      </c>
      <c r="E4" s="24">
        <f>Table1[[#This Row],[Actual sales]]/Table1[[#This Row],[Sales_Target]]</f>
        <v>0.76712984624759251</v>
      </c>
    </row>
    <row r="5" spans="1:9" x14ac:dyDescent="0.3">
      <c r="A5" s="5" t="s">
        <v>19</v>
      </c>
      <c r="B5" s="5" t="s">
        <v>190</v>
      </c>
      <c r="C5" s="5">
        <v>389728</v>
      </c>
      <c r="D5" s="5">
        <v>118000</v>
      </c>
      <c r="E5" s="24">
        <f>Table1[[#This Row],[Actual sales]]/Table1[[#This Row],[Sales_Target]]</f>
        <v>0.30277526890549306</v>
      </c>
      <c r="H5" s="15" t="s">
        <v>199</v>
      </c>
      <c r="I5" s="16" t="e">
        <f>COUNTIF(#REF!,"Pass")</f>
        <v>#REF!</v>
      </c>
    </row>
    <row r="6" spans="1:9" x14ac:dyDescent="0.3">
      <c r="A6" s="5" t="s">
        <v>19</v>
      </c>
      <c r="B6" s="5" t="s">
        <v>191</v>
      </c>
      <c r="C6" s="5">
        <v>358211</v>
      </c>
      <c r="D6" s="5">
        <v>225800</v>
      </c>
      <c r="E6" s="24">
        <f>Table1[[#This Row],[Actual sales]]/Table1[[#This Row],[Sales_Target]]</f>
        <v>0.63035473505838735</v>
      </c>
      <c r="H6" s="15" t="s">
        <v>200</v>
      </c>
      <c r="I6" s="16" t="e">
        <f>COUNTIF(#REF!,"Fail")</f>
        <v>#REF!</v>
      </c>
    </row>
    <row r="7" spans="1:9" x14ac:dyDescent="0.3">
      <c r="A7" s="5" t="s">
        <v>19</v>
      </c>
      <c r="B7" s="5" t="s">
        <v>192</v>
      </c>
      <c r="C7" s="5">
        <v>358518</v>
      </c>
      <c r="D7" s="5">
        <v>263700</v>
      </c>
      <c r="E7" s="24">
        <f>Table1[[#This Row],[Actual sales]]/Table1[[#This Row],[Sales_Target]]</f>
        <v>0.73552792328418659</v>
      </c>
    </row>
    <row r="8" spans="1:9" x14ac:dyDescent="0.3">
      <c r="A8" s="5" t="s">
        <v>14</v>
      </c>
      <c r="B8" s="5" t="s">
        <v>187</v>
      </c>
      <c r="C8" s="5">
        <v>226069</v>
      </c>
      <c r="D8" s="5">
        <v>276600</v>
      </c>
      <c r="E8" s="24">
        <f>Table1[[#This Row],[Actual sales]]/Table1[[#This Row],[Sales_Target]]</f>
        <v>1.2235202526662214</v>
      </c>
    </row>
    <row r="9" spans="1:9" x14ac:dyDescent="0.3">
      <c r="A9" s="5" t="s">
        <v>14</v>
      </c>
      <c r="B9" s="5" t="s">
        <v>188</v>
      </c>
      <c r="C9" s="5">
        <v>223275</v>
      </c>
      <c r="D9" s="5">
        <v>331200</v>
      </c>
      <c r="E9" s="24">
        <f>Table1[[#This Row],[Actual sales]]/Table1[[#This Row],[Sales_Target]]</f>
        <v>1.4833725226738328</v>
      </c>
    </row>
    <row r="10" spans="1:9" x14ac:dyDescent="0.3">
      <c r="A10" s="5" t="s">
        <v>14</v>
      </c>
      <c r="B10" s="5" t="s">
        <v>189</v>
      </c>
      <c r="C10" s="5">
        <v>385625</v>
      </c>
      <c r="D10" s="5">
        <v>468500</v>
      </c>
      <c r="E10" s="24">
        <f>Table1[[#This Row],[Actual sales]]/Table1[[#This Row],[Sales_Target]]</f>
        <v>1.2149108589951378</v>
      </c>
    </row>
    <row r="11" spans="1:9" x14ac:dyDescent="0.3">
      <c r="A11" s="5" t="s">
        <v>14</v>
      </c>
      <c r="B11" s="5" t="s">
        <v>190</v>
      </c>
      <c r="C11" s="5">
        <v>312581</v>
      </c>
      <c r="D11" s="5">
        <v>125500</v>
      </c>
      <c r="E11" s="24">
        <f>Table1[[#This Row],[Actual sales]]/Table1[[#This Row],[Sales_Target]]</f>
        <v>0.40149593225435964</v>
      </c>
    </row>
    <row r="12" spans="1:9" x14ac:dyDescent="0.3">
      <c r="A12" s="5" t="s">
        <v>14</v>
      </c>
      <c r="B12" s="5" t="s">
        <v>191</v>
      </c>
      <c r="C12" s="5">
        <v>201605</v>
      </c>
      <c r="D12" s="5">
        <v>416000</v>
      </c>
      <c r="E12" s="24">
        <f>Table1[[#This Row],[Actual sales]]/Table1[[#This Row],[Sales_Target]]</f>
        <v>2.0634408868827658</v>
      </c>
    </row>
    <row r="13" spans="1:9" x14ac:dyDescent="0.3">
      <c r="A13" s="5" t="s">
        <v>14</v>
      </c>
      <c r="B13" s="5" t="s">
        <v>192</v>
      </c>
      <c r="C13" s="5">
        <v>461949</v>
      </c>
      <c r="D13" s="5">
        <v>60800</v>
      </c>
      <c r="E13" s="24">
        <f>Table1[[#This Row],[Actual sales]]/Table1[[#This Row],[Sales_Target]]</f>
        <v>0.13161626066946785</v>
      </c>
    </row>
    <row r="14" spans="1:9" x14ac:dyDescent="0.3">
      <c r="A14" s="5" t="s">
        <v>24</v>
      </c>
      <c r="B14" s="5" t="s">
        <v>187</v>
      </c>
      <c r="C14" s="5">
        <v>410977</v>
      </c>
      <c r="D14" s="5">
        <v>246000</v>
      </c>
      <c r="E14" s="24">
        <f>Table1[[#This Row],[Actual sales]]/Table1[[#This Row],[Sales_Target]]</f>
        <v>0.59857364280726177</v>
      </c>
    </row>
    <row r="15" spans="1:9" x14ac:dyDescent="0.3">
      <c r="A15" s="5" t="s">
        <v>24</v>
      </c>
      <c r="B15" s="5" t="s">
        <v>188</v>
      </c>
      <c r="C15" s="5">
        <v>272274</v>
      </c>
      <c r="D15" s="5">
        <v>337000</v>
      </c>
      <c r="E15" s="24">
        <f>Table1[[#This Row],[Actual sales]]/Table1[[#This Row],[Sales_Target]]</f>
        <v>1.2377237635617062</v>
      </c>
    </row>
    <row r="16" spans="1:9" x14ac:dyDescent="0.3">
      <c r="A16" s="5" t="s">
        <v>24</v>
      </c>
      <c r="B16" s="5" t="s">
        <v>189</v>
      </c>
      <c r="C16" s="5">
        <v>248447</v>
      </c>
      <c r="D16" s="5">
        <v>180000</v>
      </c>
      <c r="E16" s="24">
        <f>Table1[[#This Row],[Actual sales]]/Table1[[#This Row],[Sales_Target]]</f>
        <v>0.72450059771299313</v>
      </c>
    </row>
    <row r="17" spans="1:6" x14ac:dyDescent="0.3">
      <c r="A17" s="5" t="s">
        <v>24</v>
      </c>
      <c r="B17" s="5" t="s">
        <v>190</v>
      </c>
      <c r="C17" s="5">
        <v>465956</v>
      </c>
      <c r="D17" s="5">
        <v>291800</v>
      </c>
      <c r="E17" s="24">
        <f>Table1[[#This Row],[Actual sales]]/Table1[[#This Row],[Sales_Target]]</f>
        <v>0.62623938740997009</v>
      </c>
    </row>
    <row r="18" spans="1:6" x14ac:dyDescent="0.3">
      <c r="A18" s="5" t="s">
        <v>24</v>
      </c>
      <c r="B18" s="5" t="s">
        <v>191</v>
      </c>
      <c r="C18" s="5">
        <v>272303</v>
      </c>
      <c r="D18" s="5">
        <v>97200</v>
      </c>
      <c r="E18" s="24">
        <f>Table1[[#This Row],[Actual sales]]/Table1[[#This Row],[Sales_Target]]</f>
        <v>0.35695530346709364</v>
      </c>
    </row>
    <row r="19" spans="1:6" x14ac:dyDescent="0.3">
      <c r="A19" s="5" t="s">
        <v>24</v>
      </c>
      <c r="B19" s="5" t="s">
        <v>192</v>
      </c>
      <c r="C19" s="5">
        <v>344990</v>
      </c>
      <c r="D19" s="5">
        <v>76400</v>
      </c>
      <c r="E19" s="24">
        <f>Table1[[#This Row],[Actual sales]]/Table1[[#This Row],[Sales_Target]]</f>
        <v>0.2214556943679527</v>
      </c>
    </row>
    <row r="20" spans="1:6" x14ac:dyDescent="0.3">
      <c r="A20" s="5" t="s">
        <v>30</v>
      </c>
      <c r="B20" s="5" t="s">
        <v>187</v>
      </c>
      <c r="C20" s="5">
        <v>281264</v>
      </c>
      <c r="D20" s="5">
        <v>466500</v>
      </c>
      <c r="E20" s="24">
        <f>Table1[[#This Row],[Actual sales]]/Table1[[#This Row],[Sales_Target]]</f>
        <v>1.6585841060356106</v>
      </c>
    </row>
    <row r="21" spans="1:6" x14ac:dyDescent="0.3">
      <c r="A21" s="5" t="s">
        <v>30</v>
      </c>
      <c r="B21" s="5" t="s">
        <v>188</v>
      </c>
      <c r="C21" s="5">
        <v>394053</v>
      </c>
      <c r="D21" s="5">
        <v>142700</v>
      </c>
      <c r="E21" s="24">
        <f>Table1[[#This Row],[Actual sales]]/Table1[[#This Row],[Sales_Target]]</f>
        <v>0.36213402765617825</v>
      </c>
    </row>
    <row r="22" spans="1:6" x14ac:dyDescent="0.3">
      <c r="A22" s="5" t="s">
        <v>30</v>
      </c>
      <c r="B22" s="5" t="s">
        <v>189</v>
      </c>
      <c r="C22" s="5">
        <v>479404</v>
      </c>
      <c r="D22" s="5">
        <v>385500</v>
      </c>
      <c r="E22" s="24">
        <f>Table1[[#This Row],[Actual sales]]/Table1[[#This Row],[Sales_Target]]</f>
        <v>0.80412345328783241</v>
      </c>
    </row>
    <row r="23" spans="1:6" x14ac:dyDescent="0.3">
      <c r="A23" s="5" t="s">
        <v>30</v>
      </c>
      <c r="B23" s="5" t="s">
        <v>190</v>
      </c>
      <c r="C23" s="5">
        <v>316421</v>
      </c>
      <c r="D23" s="5">
        <v>277800</v>
      </c>
      <c r="E23" s="24">
        <f>Table1[[#This Row],[Actual sales]]/Table1[[#This Row],[Sales_Target]]</f>
        <v>0.87794425780842611</v>
      </c>
    </row>
    <row r="24" spans="1:6" x14ac:dyDescent="0.3">
      <c r="A24" s="5" t="s">
        <v>30</v>
      </c>
      <c r="B24" s="5" t="s">
        <v>191</v>
      </c>
      <c r="C24" s="5">
        <v>387210</v>
      </c>
      <c r="D24" s="5">
        <v>528100</v>
      </c>
      <c r="E24" s="24">
        <f>Table1[[#This Row],[Actual sales]]/Table1[[#This Row],[Sales_Target]]</f>
        <v>1.3638594044575294</v>
      </c>
    </row>
    <row r="25" spans="1:6" x14ac:dyDescent="0.3">
      <c r="A25" s="5" t="s">
        <v>30</v>
      </c>
      <c r="B25" s="5" t="s">
        <v>192</v>
      </c>
      <c r="C25" s="5">
        <v>324040</v>
      </c>
      <c r="D25" s="5">
        <v>160700</v>
      </c>
      <c r="E25" s="24">
        <f>Table1[[#This Row],[Actual sales]]/Table1[[#This Row],[Sales_Target]]</f>
        <v>0.49592642883594618</v>
      </c>
    </row>
    <row r="26" spans="1:6" x14ac:dyDescent="0.3">
      <c r="A26" s="12" t="s">
        <v>196</v>
      </c>
      <c r="B26" s="13"/>
      <c r="C26" s="13">
        <f>SUBTOTAL(109,Table1[Sales_Target])</f>
        <v>7994589</v>
      </c>
      <c r="D26" s="13">
        <f>SUBTOTAL(109,Table1[Actual sales])</f>
        <v>6243400</v>
      </c>
      <c r="E26" s="14"/>
      <c r="F26" s="26"/>
    </row>
  </sheetData>
  <conditionalFormatting sqref="E2:E25">
    <cfRule type="cellIs" dxfId="0" priority="1" operator="greaterThan">
      <formula>1</formula>
    </cfRule>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71157-B0B1-4DB6-A99E-72D08D930B49}">
  <dimension ref="A1:AE93"/>
  <sheetViews>
    <sheetView tabSelected="1" topLeftCell="A13" zoomScale="85" zoomScaleNormal="85" workbookViewId="0">
      <selection activeCell="AC31" sqref="AC31"/>
    </sheetView>
  </sheetViews>
  <sheetFormatPr defaultRowHeight="14.4" x14ac:dyDescent="0.3"/>
  <cols>
    <col min="1" max="1" width="3.77734375" customWidth="1"/>
    <col min="2" max="2" width="2.5546875" customWidth="1"/>
    <col min="5" max="5" width="8.88671875" customWidth="1"/>
    <col min="6" max="6" width="2.109375" customWidth="1"/>
    <col min="7" max="7" width="1.77734375" customWidth="1"/>
    <col min="15" max="15" width="1.6640625" customWidth="1"/>
    <col min="23" max="23" width="3" customWidth="1"/>
    <col min="24" max="24" width="2.5546875" customWidth="1"/>
  </cols>
  <sheetData>
    <row r="1" spans="1:31" ht="9.6" customHeight="1" thickBot="1" x14ac:dyDescent="0.35">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1:31" x14ac:dyDescent="0.3">
      <c r="A2" s="26"/>
      <c r="B2" s="42" t="s">
        <v>203</v>
      </c>
      <c r="C2" s="43"/>
      <c r="D2" s="43"/>
      <c r="E2" s="43"/>
      <c r="F2" s="43"/>
      <c r="G2" s="43"/>
      <c r="H2" s="43"/>
      <c r="I2" s="43"/>
      <c r="J2" s="43"/>
      <c r="K2" s="43"/>
      <c r="L2" s="43"/>
      <c r="M2" s="43"/>
      <c r="N2" s="43"/>
      <c r="O2" s="43"/>
      <c r="P2" s="43"/>
      <c r="Q2" s="43"/>
      <c r="R2" s="43"/>
      <c r="S2" s="43"/>
      <c r="T2" s="43"/>
      <c r="U2" s="43"/>
      <c r="V2" s="43"/>
      <c r="W2" s="43"/>
      <c r="X2" s="44"/>
      <c r="Y2" s="26"/>
      <c r="Z2" s="26"/>
      <c r="AA2" s="26"/>
      <c r="AB2" s="26"/>
      <c r="AC2" s="26"/>
      <c r="AD2" s="26"/>
      <c r="AE2" s="26"/>
    </row>
    <row r="3" spans="1:31" ht="15" thickBot="1" x14ac:dyDescent="0.35">
      <c r="A3" s="26"/>
      <c r="B3" s="45"/>
      <c r="C3" s="46"/>
      <c r="D3" s="46"/>
      <c r="E3" s="46"/>
      <c r="F3" s="46"/>
      <c r="G3" s="46"/>
      <c r="H3" s="46"/>
      <c r="I3" s="46"/>
      <c r="J3" s="46"/>
      <c r="K3" s="46"/>
      <c r="L3" s="46"/>
      <c r="M3" s="46"/>
      <c r="N3" s="46"/>
      <c r="O3" s="46"/>
      <c r="P3" s="46"/>
      <c r="Q3" s="46"/>
      <c r="R3" s="46"/>
      <c r="S3" s="46"/>
      <c r="T3" s="46"/>
      <c r="U3" s="46"/>
      <c r="V3" s="46"/>
      <c r="W3" s="46"/>
      <c r="X3" s="47"/>
      <c r="Y3" s="26"/>
      <c r="Z3" s="26"/>
      <c r="AA3" s="26"/>
      <c r="AB3" s="26"/>
      <c r="AC3" s="26"/>
      <c r="AD3" s="26"/>
      <c r="AE3" s="26"/>
    </row>
    <row r="4" spans="1:31" ht="8.4" customHeight="1" thickBot="1" x14ac:dyDescent="0.3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row>
    <row r="5" spans="1:31" ht="18" customHeight="1" thickBot="1" x14ac:dyDescent="0.35">
      <c r="A5" s="26"/>
      <c r="B5" s="31"/>
      <c r="C5" s="32"/>
      <c r="D5" s="32"/>
      <c r="E5" s="32"/>
      <c r="F5" s="32"/>
      <c r="G5" s="32"/>
      <c r="H5" s="32"/>
      <c r="I5" s="32"/>
      <c r="J5" s="32"/>
      <c r="K5" s="32"/>
      <c r="L5" s="32"/>
      <c r="M5" s="32"/>
      <c r="N5" s="32"/>
      <c r="O5" s="32"/>
      <c r="P5" s="32"/>
      <c r="Q5" s="32"/>
      <c r="R5" s="32"/>
      <c r="S5" s="32"/>
      <c r="T5" s="32"/>
      <c r="U5" s="32"/>
      <c r="V5" s="32"/>
      <c r="W5" s="32"/>
      <c r="X5" s="33"/>
      <c r="Y5" s="26"/>
      <c r="Z5" s="26"/>
      <c r="AA5" s="26"/>
      <c r="AB5" s="26"/>
      <c r="AC5" s="26"/>
      <c r="AD5" s="26"/>
      <c r="AE5" s="26"/>
    </row>
    <row r="6" spans="1:31" ht="8.4" customHeight="1" x14ac:dyDescent="0.3">
      <c r="A6" s="26"/>
      <c r="B6" s="34"/>
      <c r="C6" s="31"/>
      <c r="D6" s="32"/>
      <c r="E6" s="33"/>
      <c r="F6" s="35"/>
      <c r="G6" s="31"/>
      <c r="H6" s="32"/>
      <c r="I6" s="32"/>
      <c r="J6" s="32"/>
      <c r="K6" s="32"/>
      <c r="L6" s="32"/>
      <c r="M6" s="32"/>
      <c r="N6" s="32"/>
      <c r="O6" s="32"/>
      <c r="P6" s="32"/>
      <c r="Q6" s="32"/>
      <c r="R6" s="32"/>
      <c r="S6" s="32"/>
      <c r="T6" s="32"/>
      <c r="U6" s="32"/>
      <c r="V6" s="32"/>
      <c r="W6" s="33"/>
      <c r="X6" s="36"/>
      <c r="Y6" s="26"/>
      <c r="Z6" s="26"/>
      <c r="AA6" s="26"/>
      <c r="AB6" s="26"/>
      <c r="AC6" s="26"/>
      <c r="AD6" s="26"/>
      <c r="AE6" s="26"/>
    </row>
    <row r="7" spans="1:31" x14ac:dyDescent="0.3">
      <c r="A7" s="26"/>
      <c r="B7" s="34"/>
      <c r="C7" s="34"/>
      <c r="D7" s="35"/>
      <c r="E7" s="36"/>
      <c r="F7" s="35"/>
      <c r="G7" s="34"/>
      <c r="H7" s="35"/>
      <c r="I7" s="35"/>
      <c r="J7" s="35"/>
      <c r="K7" s="35"/>
      <c r="L7" s="35"/>
      <c r="M7" s="35"/>
      <c r="N7" s="35"/>
      <c r="O7" s="35"/>
      <c r="P7" s="35"/>
      <c r="Q7" s="35"/>
      <c r="R7" s="35"/>
      <c r="S7" s="35"/>
      <c r="T7" s="35"/>
      <c r="U7" s="35"/>
      <c r="V7" s="35"/>
      <c r="W7" s="36"/>
      <c r="X7" s="36"/>
      <c r="Y7" s="26"/>
      <c r="Z7" s="26"/>
      <c r="AA7" s="26"/>
      <c r="AB7" s="26"/>
      <c r="AC7" s="26"/>
      <c r="AD7" s="26"/>
      <c r="AE7" s="26"/>
    </row>
    <row r="8" spans="1:31" x14ac:dyDescent="0.3">
      <c r="A8" s="26"/>
      <c r="B8" s="34"/>
      <c r="C8" s="34"/>
      <c r="D8" s="35"/>
      <c r="E8" s="36"/>
      <c r="F8" s="35"/>
      <c r="G8" s="34"/>
      <c r="H8" s="35"/>
      <c r="I8" s="35"/>
      <c r="J8" s="35"/>
      <c r="K8" s="35"/>
      <c r="L8" s="35"/>
      <c r="M8" s="35"/>
      <c r="N8" s="35"/>
      <c r="O8" s="35"/>
      <c r="P8" s="35"/>
      <c r="Q8" s="35"/>
      <c r="R8" s="35"/>
      <c r="S8" s="35"/>
      <c r="T8" s="35"/>
      <c r="U8" s="35"/>
      <c r="V8" s="35"/>
      <c r="W8" s="36"/>
      <c r="X8" s="36"/>
      <c r="Y8" s="26"/>
      <c r="Z8" s="26"/>
      <c r="AA8" s="26"/>
      <c r="AB8" s="26"/>
      <c r="AC8" s="26"/>
      <c r="AD8" s="26"/>
      <c r="AE8" s="26"/>
    </row>
    <row r="9" spans="1:31" x14ac:dyDescent="0.3">
      <c r="A9" s="26"/>
      <c r="B9" s="34"/>
      <c r="C9" s="34"/>
      <c r="D9" s="35"/>
      <c r="E9" s="36"/>
      <c r="F9" s="35"/>
      <c r="G9" s="34"/>
      <c r="H9" s="35"/>
      <c r="I9" s="35"/>
      <c r="J9" s="35"/>
      <c r="K9" s="35"/>
      <c r="L9" s="35"/>
      <c r="M9" s="35"/>
      <c r="N9" s="35"/>
      <c r="O9" s="35"/>
      <c r="P9" s="35"/>
      <c r="Q9" s="35"/>
      <c r="R9" s="35"/>
      <c r="S9" s="35"/>
      <c r="T9" s="35"/>
      <c r="U9" s="35"/>
      <c r="V9" s="35"/>
      <c r="W9" s="36"/>
      <c r="X9" s="36"/>
      <c r="Y9" s="26"/>
      <c r="Z9" s="26"/>
      <c r="AA9" s="26"/>
      <c r="AB9" s="26"/>
      <c r="AC9" s="26"/>
      <c r="AD9" s="26"/>
      <c r="AE9" s="26"/>
    </row>
    <row r="10" spans="1:31" x14ac:dyDescent="0.3">
      <c r="A10" s="26"/>
      <c r="B10" s="34"/>
      <c r="C10" s="34"/>
      <c r="D10" s="35"/>
      <c r="E10" s="36"/>
      <c r="F10" s="35"/>
      <c r="G10" s="34"/>
      <c r="H10" s="35"/>
      <c r="I10" s="35"/>
      <c r="J10" s="35"/>
      <c r="K10" s="35"/>
      <c r="L10" s="35"/>
      <c r="M10" s="35"/>
      <c r="N10" s="35"/>
      <c r="O10" s="35"/>
      <c r="P10" s="35"/>
      <c r="Q10" s="35"/>
      <c r="R10" s="35"/>
      <c r="S10" s="35"/>
      <c r="T10" s="35"/>
      <c r="U10" s="35"/>
      <c r="V10" s="35"/>
      <c r="W10" s="36"/>
      <c r="X10" s="36"/>
      <c r="Y10" s="26"/>
      <c r="Z10" s="26"/>
      <c r="AA10" s="26"/>
      <c r="AB10" s="26"/>
      <c r="AC10" s="26"/>
      <c r="AD10" s="26"/>
      <c r="AE10" s="26"/>
    </row>
    <row r="11" spans="1:31" x14ac:dyDescent="0.3">
      <c r="A11" s="26"/>
      <c r="B11" s="34"/>
      <c r="C11" s="34"/>
      <c r="D11" s="35"/>
      <c r="E11" s="36"/>
      <c r="F11" s="35"/>
      <c r="G11" s="34"/>
      <c r="H11" s="35"/>
      <c r="I11" s="35"/>
      <c r="J11" s="35"/>
      <c r="K11" s="35"/>
      <c r="L11" s="35"/>
      <c r="M11" s="35"/>
      <c r="N11" s="35"/>
      <c r="O11" s="35"/>
      <c r="P11" s="35"/>
      <c r="Q11" s="35"/>
      <c r="R11" s="35"/>
      <c r="S11" s="35"/>
      <c r="T11" s="35"/>
      <c r="U11" s="35"/>
      <c r="V11" s="35"/>
      <c r="W11" s="36"/>
      <c r="X11" s="36"/>
      <c r="Y11" s="26"/>
      <c r="Z11" s="26"/>
      <c r="AA11" s="26"/>
      <c r="AB11" s="26"/>
      <c r="AC11" s="26"/>
      <c r="AD11" s="26"/>
      <c r="AE11" s="26"/>
    </row>
    <row r="12" spans="1:31" x14ac:dyDescent="0.3">
      <c r="A12" s="26"/>
      <c r="B12" s="34"/>
      <c r="C12" s="34"/>
      <c r="D12" s="35"/>
      <c r="E12" s="36"/>
      <c r="F12" s="35"/>
      <c r="G12" s="34"/>
      <c r="H12" s="35"/>
      <c r="I12" s="35"/>
      <c r="J12" s="35"/>
      <c r="K12" s="35"/>
      <c r="L12" s="35"/>
      <c r="M12" s="35"/>
      <c r="N12" s="35"/>
      <c r="O12" s="35"/>
      <c r="P12" s="35"/>
      <c r="Q12" s="35"/>
      <c r="R12" s="35"/>
      <c r="S12" s="35"/>
      <c r="T12" s="35"/>
      <c r="U12" s="35"/>
      <c r="V12" s="35"/>
      <c r="W12" s="36"/>
      <c r="X12" s="36"/>
      <c r="Y12" s="26"/>
      <c r="Z12" s="26"/>
      <c r="AA12" s="26"/>
      <c r="AB12" s="26"/>
      <c r="AC12" s="26"/>
      <c r="AD12" s="26"/>
      <c r="AE12" s="26"/>
    </row>
    <row r="13" spans="1:31" x14ac:dyDescent="0.3">
      <c r="A13" s="26"/>
      <c r="B13" s="34"/>
      <c r="C13" s="34"/>
      <c r="D13" s="35"/>
      <c r="E13" s="36"/>
      <c r="F13" s="35"/>
      <c r="G13" s="34"/>
      <c r="H13" s="35"/>
      <c r="I13" s="35"/>
      <c r="J13" s="35"/>
      <c r="K13" s="35"/>
      <c r="L13" s="35"/>
      <c r="M13" s="35"/>
      <c r="N13" s="35"/>
      <c r="O13" s="35"/>
      <c r="P13" s="35"/>
      <c r="Q13" s="35"/>
      <c r="R13" s="35"/>
      <c r="S13" s="35"/>
      <c r="T13" s="35"/>
      <c r="U13" s="35"/>
      <c r="V13" s="35"/>
      <c r="W13" s="36"/>
      <c r="X13" s="36"/>
      <c r="Y13" s="26"/>
      <c r="Z13" s="26"/>
      <c r="AA13" s="26"/>
      <c r="AB13" s="26"/>
      <c r="AC13" s="26"/>
      <c r="AD13" s="26"/>
      <c r="AE13" s="26"/>
    </row>
    <row r="14" spans="1:31" x14ac:dyDescent="0.3">
      <c r="A14" s="26"/>
      <c r="B14" s="34"/>
      <c r="C14" s="34"/>
      <c r="D14" s="35"/>
      <c r="E14" s="36"/>
      <c r="F14" s="35"/>
      <c r="G14" s="34"/>
      <c r="H14" s="35"/>
      <c r="I14" s="35"/>
      <c r="J14" s="35"/>
      <c r="K14" s="35"/>
      <c r="L14" s="35"/>
      <c r="M14" s="35"/>
      <c r="N14" s="35"/>
      <c r="O14" s="35"/>
      <c r="P14" s="35"/>
      <c r="Q14" s="35"/>
      <c r="R14" s="35"/>
      <c r="S14" s="35"/>
      <c r="T14" s="35"/>
      <c r="U14" s="35"/>
      <c r="V14" s="35"/>
      <c r="W14" s="36"/>
      <c r="X14" s="36"/>
      <c r="Y14" s="26"/>
      <c r="Z14" s="26"/>
      <c r="AA14" s="26"/>
      <c r="AB14" s="26"/>
      <c r="AC14" s="26"/>
      <c r="AD14" s="26"/>
      <c r="AE14" s="26"/>
    </row>
    <row r="15" spans="1:31" x14ac:dyDescent="0.3">
      <c r="A15" s="26"/>
      <c r="B15" s="34"/>
      <c r="C15" s="34"/>
      <c r="D15" s="35"/>
      <c r="E15" s="36"/>
      <c r="F15" s="35"/>
      <c r="G15" s="34"/>
      <c r="H15" s="35"/>
      <c r="I15" s="35"/>
      <c r="J15" s="35"/>
      <c r="K15" s="35"/>
      <c r="L15" s="35"/>
      <c r="M15" s="35"/>
      <c r="N15" s="35"/>
      <c r="O15" s="35"/>
      <c r="P15" s="35"/>
      <c r="Q15" s="35"/>
      <c r="R15" s="35"/>
      <c r="S15" s="35"/>
      <c r="T15" s="35"/>
      <c r="U15" s="35"/>
      <c r="V15" s="35"/>
      <c r="W15" s="36"/>
      <c r="X15" s="36"/>
      <c r="Y15" s="26"/>
      <c r="Z15" s="26"/>
      <c r="AA15" s="26"/>
      <c r="AB15" s="26"/>
      <c r="AC15" s="26"/>
      <c r="AD15" s="26"/>
      <c r="AE15" s="26"/>
    </row>
    <row r="16" spans="1:31" x14ac:dyDescent="0.3">
      <c r="A16" s="26"/>
      <c r="B16" s="34"/>
      <c r="C16" s="34"/>
      <c r="D16" s="35"/>
      <c r="E16" s="36"/>
      <c r="F16" s="35"/>
      <c r="G16" s="34"/>
      <c r="H16" s="35"/>
      <c r="I16" s="35"/>
      <c r="J16" s="35"/>
      <c r="K16" s="35"/>
      <c r="L16" s="35"/>
      <c r="M16" s="35"/>
      <c r="N16" s="35"/>
      <c r="O16" s="35"/>
      <c r="P16" s="35"/>
      <c r="Q16" s="35"/>
      <c r="R16" s="35"/>
      <c r="S16" s="35"/>
      <c r="T16" s="35"/>
      <c r="U16" s="35"/>
      <c r="V16" s="35"/>
      <c r="W16" s="36"/>
      <c r="X16" s="36"/>
      <c r="Y16" s="26"/>
      <c r="Z16" s="26"/>
      <c r="AA16" s="26"/>
      <c r="AB16" s="26"/>
      <c r="AC16" s="26"/>
      <c r="AD16" s="26"/>
      <c r="AE16" s="26"/>
    </row>
    <row r="17" spans="1:31" x14ac:dyDescent="0.3">
      <c r="A17" s="26"/>
      <c r="B17" s="34"/>
      <c r="C17" s="34"/>
      <c r="D17" s="35"/>
      <c r="E17" s="36"/>
      <c r="F17" s="35"/>
      <c r="G17" s="34"/>
      <c r="H17" s="35"/>
      <c r="I17" s="35"/>
      <c r="J17" s="35"/>
      <c r="K17" s="35"/>
      <c r="L17" s="35"/>
      <c r="M17" s="35"/>
      <c r="N17" s="35"/>
      <c r="O17" s="35"/>
      <c r="P17" s="35"/>
      <c r="Q17" s="35"/>
      <c r="R17" s="35"/>
      <c r="S17" s="35"/>
      <c r="T17" s="35"/>
      <c r="U17" s="35"/>
      <c r="V17" s="35"/>
      <c r="W17" s="36"/>
      <c r="X17" s="36"/>
      <c r="Y17" s="26"/>
      <c r="Z17" s="26"/>
      <c r="AA17" s="26"/>
      <c r="AB17" s="26"/>
      <c r="AC17" s="26"/>
      <c r="AD17" s="26"/>
      <c r="AE17" s="26"/>
    </row>
    <row r="18" spans="1:31" x14ac:dyDescent="0.3">
      <c r="A18" s="26"/>
      <c r="B18" s="34"/>
      <c r="C18" s="34"/>
      <c r="D18" s="35"/>
      <c r="E18" s="36"/>
      <c r="F18" s="35"/>
      <c r="G18" s="34"/>
      <c r="H18" s="35"/>
      <c r="I18" s="35"/>
      <c r="J18" s="35"/>
      <c r="K18" s="35"/>
      <c r="L18" s="35"/>
      <c r="M18" s="35"/>
      <c r="N18" s="35"/>
      <c r="O18" s="35"/>
      <c r="P18" s="35"/>
      <c r="Q18" s="35"/>
      <c r="R18" s="35"/>
      <c r="S18" s="35"/>
      <c r="T18" s="35"/>
      <c r="U18" s="35"/>
      <c r="V18" s="35"/>
      <c r="W18" s="36"/>
      <c r="X18" s="36"/>
      <c r="Y18" s="26"/>
      <c r="Z18" s="26"/>
      <c r="AA18" s="26"/>
      <c r="AB18" s="26"/>
      <c r="AC18" s="26"/>
      <c r="AD18" s="26"/>
      <c r="AE18" s="26"/>
    </row>
    <row r="19" spans="1:31" x14ac:dyDescent="0.3">
      <c r="A19" s="26"/>
      <c r="B19" s="34"/>
      <c r="C19" s="34"/>
      <c r="D19" s="35"/>
      <c r="E19" s="36"/>
      <c r="F19" s="35"/>
      <c r="G19" s="34"/>
      <c r="H19" s="35"/>
      <c r="I19" s="35"/>
      <c r="J19" s="35"/>
      <c r="K19" s="35"/>
      <c r="L19" s="35"/>
      <c r="M19" s="35"/>
      <c r="N19" s="35"/>
      <c r="O19" s="35"/>
      <c r="P19" s="35"/>
      <c r="Q19" s="35"/>
      <c r="R19" s="35"/>
      <c r="S19" s="35"/>
      <c r="T19" s="35"/>
      <c r="U19" s="35"/>
      <c r="V19" s="35"/>
      <c r="W19" s="36"/>
      <c r="X19" s="36"/>
      <c r="Y19" s="26"/>
      <c r="Z19" s="26"/>
      <c r="AA19" s="26"/>
      <c r="AB19" s="26"/>
      <c r="AC19" s="26"/>
      <c r="AD19" s="26"/>
      <c r="AE19" s="26"/>
    </row>
    <row r="20" spans="1:31" x14ac:dyDescent="0.3">
      <c r="A20" s="26"/>
      <c r="B20" s="34"/>
      <c r="C20" s="34"/>
      <c r="D20" s="35"/>
      <c r="E20" s="36"/>
      <c r="F20" s="35"/>
      <c r="G20" s="34"/>
      <c r="H20" s="35"/>
      <c r="I20" s="35"/>
      <c r="J20" s="35"/>
      <c r="K20" s="35"/>
      <c r="L20" s="35"/>
      <c r="M20" s="35"/>
      <c r="N20" s="35"/>
      <c r="O20" s="35"/>
      <c r="P20" s="35"/>
      <c r="Q20" s="35"/>
      <c r="R20" s="35"/>
      <c r="S20" s="35"/>
      <c r="T20" s="35"/>
      <c r="U20" s="35"/>
      <c r="V20" s="35"/>
      <c r="W20" s="36"/>
      <c r="X20" s="36"/>
      <c r="Y20" s="26"/>
      <c r="Z20" s="26"/>
      <c r="AA20" s="26"/>
      <c r="AB20" s="26"/>
      <c r="AC20" s="26"/>
      <c r="AD20" s="26"/>
      <c r="AE20" s="26"/>
    </row>
    <row r="21" spans="1:31" x14ac:dyDescent="0.3">
      <c r="A21" s="26"/>
      <c r="B21" s="34"/>
      <c r="C21" s="34"/>
      <c r="D21" s="35"/>
      <c r="E21" s="36"/>
      <c r="F21" s="35"/>
      <c r="G21" s="34"/>
      <c r="H21" s="35"/>
      <c r="I21" s="35"/>
      <c r="J21" s="35"/>
      <c r="K21" s="35"/>
      <c r="L21" s="35"/>
      <c r="M21" s="35"/>
      <c r="N21" s="35"/>
      <c r="O21" s="35"/>
      <c r="P21" s="35"/>
      <c r="Q21" s="35"/>
      <c r="R21" s="35"/>
      <c r="S21" s="35"/>
      <c r="T21" s="35"/>
      <c r="U21" s="35"/>
      <c r="V21" s="35"/>
      <c r="W21" s="36"/>
      <c r="X21" s="36"/>
      <c r="Y21" s="26"/>
      <c r="Z21" s="26"/>
      <c r="AA21" s="26"/>
      <c r="AB21" s="26"/>
      <c r="AC21" s="26"/>
      <c r="AD21" s="26"/>
      <c r="AE21" s="26"/>
    </row>
    <row r="22" spans="1:31" x14ac:dyDescent="0.3">
      <c r="A22" s="26"/>
      <c r="B22" s="34"/>
      <c r="C22" s="34"/>
      <c r="D22" s="35"/>
      <c r="E22" s="36"/>
      <c r="F22" s="35"/>
      <c r="G22" s="34"/>
      <c r="H22" s="35"/>
      <c r="I22" s="35"/>
      <c r="J22" s="35"/>
      <c r="K22" s="35"/>
      <c r="L22" s="35"/>
      <c r="M22" s="35"/>
      <c r="N22" s="35"/>
      <c r="O22" s="35"/>
      <c r="P22" s="35"/>
      <c r="Q22" s="35"/>
      <c r="R22" s="35"/>
      <c r="S22" s="35"/>
      <c r="T22" s="35"/>
      <c r="U22" s="35"/>
      <c r="V22" s="35"/>
      <c r="W22" s="36"/>
      <c r="X22" s="36"/>
      <c r="Y22" s="26"/>
      <c r="Z22" s="26"/>
      <c r="AA22" s="26"/>
      <c r="AB22" s="26"/>
      <c r="AC22" s="26"/>
      <c r="AD22" s="26"/>
      <c r="AE22" s="26"/>
    </row>
    <row r="23" spans="1:31" ht="9.6" customHeight="1" x14ac:dyDescent="0.3">
      <c r="A23" s="26"/>
      <c r="B23" s="34"/>
      <c r="C23" s="34"/>
      <c r="D23" s="35"/>
      <c r="E23" s="36"/>
      <c r="F23" s="35"/>
      <c r="G23" s="34"/>
      <c r="H23" s="35"/>
      <c r="I23" s="35"/>
      <c r="J23" s="35"/>
      <c r="K23" s="35"/>
      <c r="L23" s="35"/>
      <c r="M23" s="35"/>
      <c r="N23" s="35"/>
      <c r="O23" s="35"/>
      <c r="P23" s="35"/>
      <c r="Q23" s="35"/>
      <c r="R23" s="35"/>
      <c r="S23" s="35"/>
      <c r="T23" s="35"/>
      <c r="U23" s="35"/>
      <c r="V23" s="35"/>
      <c r="W23" s="36"/>
      <c r="X23" s="36"/>
      <c r="Y23" s="26"/>
      <c r="Z23" s="26"/>
      <c r="AA23" s="26"/>
      <c r="AB23" s="26"/>
      <c r="AC23" s="26"/>
      <c r="AD23" s="26"/>
      <c r="AE23" s="26"/>
    </row>
    <row r="24" spans="1:31" x14ac:dyDescent="0.3">
      <c r="A24" s="26"/>
      <c r="B24" s="34"/>
      <c r="C24" s="34"/>
      <c r="D24" s="35"/>
      <c r="E24" s="36"/>
      <c r="F24" s="35"/>
      <c r="G24" s="34"/>
      <c r="H24" s="35"/>
      <c r="I24" s="35"/>
      <c r="J24" s="35"/>
      <c r="K24" s="35"/>
      <c r="L24" s="35"/>
      <c r="M24" s="35"/>
      <c r="N24" s="35"/>
      <c r="O24" s="35"/>
      <c r="P24" s="35"/>
      <c r="Q24" s="35"/>
      <c r="R24" s="35"/>
      <c r="S24" s="35"/>
      <c r="T24" s="35"/>
      <c r="U24" s="35"/>
      <c r="V24" s="35"/>
      <c r="W24" s="36"/>
      <c r="X24" s="36"/>
      <c r="Y24" s="26"/>
      <c r="Z24" s="26"/>
      <c r="AA24" s="26"/>
      <c r="AB24" s="26"/>
      <c r="AC24" s="26"/>
      <c r="AD24" s="26"/>
      <c r="AE24" s="26"/>
    </row>
    <row r="25" spans="1:31" x14ac:dyDescent="0.3">
      <c r="A25" s="26"/>
      <c r="B25" s="34"/>
      <c r="C25" s="34"/>
      <c r="D25" s="35"/>
      <c r="E25" s="36"/>
      <c r="F25" s="35"/>
      <c r="G25" s="34"/>
      <c r="H25" s="35"/>
      <c r="I25" s="35"/>
      <c r="J25" s="35"/>
      <c r="K25" s="35"/>
      <c r="L25" s="35"/>
      <c r="M25" s="35"/>
      <c r="N25" s="35"/>
      <c r="O25" s="35"/>
      <c r="P25" s="35"/>
      <c r="Q25" s="35"/>
      <c r="R25" s="35"/>
      <c r="S25" s="35"/>
      <c r="T25" s="35"/>
      <c r="U25" s="35"/>
      <c r="V25" s="35"/>
      <c r="W25" s="36"/>
      <c r="X25" s="36"/>
      <c r="Y25" s="26"/>
      <c r="Z25" s="26"/>
      <c r="AA25" s="26"/>
      <c r="AB25" s="26"/>
      <c r="AC25" s="26"/>
      <c r="AD25" s="26"/>
      <c r="AE25" s="26"/>
    </row>
    <row r="26" spans="1:31" x14ac:dyDescent="0.3">
      <c r="A26" s="26"/>
      <c r="B26" s="34"/>
      <c r="C26" s="34"/>
      <c r="D26" s="35"/>
      <c r="E26" s="36"/>
      <c r="F26" s="35"/>
      <c r="G26" s="34"/>
      <c r="H26" s="35"/>
      <c r="I26" s="35"/>
      <c r="J26" s="35"/>
      <c r="K26" s="35"/>
      <c r="L26" s="35"/>
      <c r="M26" s="35"/>
      <c r="N26" s="35"/>
      <c r="O26" s="35"/>
      <c r="P26" s="35"/>
      <c r="Q26" s="35"/>
      <c r="R26" s="35"/>
      <c r="S26" s="35"/>
      <c r="T26" s="35"/>
      <c r="U26" s="35"/>
      <c r="V26" s="35"/>
      <c r="W26" s="36"/>
      <c r="X26" s="36"/>
      <c r="Y26" s="26"/>
      <c r="Z26" s="26"/>
      <c r="AA26" s="26"/>
      <c r="AB26" s="26"/>
      <c r="AC26" s="26"/>
      <c r="AD26" s="26"/>
      <c r="AE26" s="26"/>
    </row>
    <row r="27" spans="1:31" x14ac:dyDescent="0.3">
      <c r="A27" s="26"/>
      <c r="B27" s="34"/>
      <c r="C27" s="34"/>
      <c r="D27" s="35"/>
      <c r="E27" s="36"/>
      <c r="F27" s="35"/>
      <c r="G27" s="34"/>
      <c r="H27" s="35"/>
      <c r="I27" s="35"/>
      <c r="J27" s="35"/>
      <c r="K27" s="35"/>
      <c r="L27" s="35"/>
      <c r="M27" s="35"/>
      <c r="N27" s="35"/>
      <c r="O27" s="35"/>
      <c r="P27" s="35"/>
      <c r="Q27" s="35"/>
      <c r="R27" s="35"/>
      <c r="S27" s="35"/>
      <c r="T27" s="35"/>
      <c r="U27" s="35"/>
      <c r="V27" s="35"/>
      <c r="W27" s="36"/>
      <c r="X27" s="36"/>
      <c r="Y27" s="26"/>
      <c r="Z27" s="26"/>
      <c r="AA27" s="26"/>
      <c r="AB27" s="26"/>
      <c r="AC27" s="26"/>
      <c r="AD27" s="26"/>
      <c r="AE27" s="26"/>
    </row>
    <row r="28" spans="1:31" x14ac:dyDescent="0.3">
      <c r="A28" s="26"/>
      <c r="B28" s="34"/>
      <c r="C28" s="34"/>
      <c r="D28" s="35"/>
      <c r="E28" s="36"/>
      <c r="F28" s="35"/>
      <c r="G28" s="34"/>
      <c r="H28" s="35"/>
      <c r="I28" s="35"/>
      <c r="J28" s="35"/>
      <c r="K28" s="35"/>
      <c r="L28" s="35"/>
      <c r="M28" s="35"/>
      <c r="N28" s="35"/>
      <c r="O28" s="35"/>
      <c r="P28" s="35"/>
      <c r="Q28" s="35"/>
      <c r="R28" s="35"/>
      <c r="S28" s="35"/>
      <c r="T28" s="35"/>
      <c r="U28" s="35"/>
      <c r="V28" s="35"/>
      <c r="W28" s="36"/>
      <c r="X28" s="36"/>
      <c r="Y28" s="26"/>
      <c r="Z28" s="26"/>
      <c r="AA28" s="26"/>
      <c r="AB28" s="26"/>
      <c r="AC28" s="26"/>
      <c r="AD28" s="26"/>
      <c r="AE28" s="26"/>
    </row>
    <row r="29" spans="1:31" x14ac:dyDescent="0.3">
      <c r="A29" s="26"/>
      <c r="B29" s="34"/>
      <c r="C29" s="34"/>
      <c r="D29" s="35"/>
      <c r="E29" s="36"/>
      <c r="F29" s="35"/>
      <c r="G29" s="34"/>
      <c r="H29" s="35"/>
      <c r="I29" s="35"/>
      <c r="J29" s="35"/>
      <c r="K29" s="35"/>
      <c r="L29" s="35"/>
      <c r="M29" s="35"/>
      <c r="N29" s="35"/>
      <c r="O29" s="35"/>
      <c r="P29" s="35"/>
      <c r="Q29" s="35"/>
      <c r="R29" s="35"/>
      <c r="S29" s="35"/>
      <c r="T29" s="35"/>
      <c r="U29" s="35"/>
      <c r="V29" s="35"/>
      <c r="W29" s="36"/>
      <c r="X29" s="36"/>
      <c r="Y29" s="26"/>
      <c r="Z29" s="26"/>
      <c r="AA29" s="26"/>
      <c r="AB29" s="26"/>
      <c r="AC29" s="26"/>
      <c r="AD29" s="26"/>
      <c r="AE29" s="26"/>
    </row>
    <row r="30" spans="1:31" x14ac:dyDescent="0.3">
      <c r="A30" s="26"/>
      <c r="B30" s="34"/>
      <c r="C30" s="34"/>
      <c r="D30" s="35"/>
      <c r="E30" s="36"/>
      <c r="F30" s="35"/>
      <c r="G30" s="34"/>
      <c r="H30" s="35"/>
      <c r="I30" s="35"/>
      <c r="J30" s="35"/>
      <c r="K30" s="35"/>
      <c r="L30" s="35"/>
      <c r="M30" s="35"/>
      <c r="N30" s="35"/>
      <c r="O30" s="35"/>
      <c r="P30" s="35"/>
      <c r="Q30" s="35"/>
      <c r="R30" s="35"/>
      <c r="S30" s="35"/>
      <c r="T30" s="35"/>
      <c r="U30" s="35"/>
      <c r="V30" s="35"/>
      <c r="W30" s="36"/>
      <c r="X30" s="36"/>
      <c r="Y30" s="26"/>
      <c r="Z30" s="26"/>
      <c r="AA30" s="26"/>
      <c r="AB30" s="26"/>
      <c r="AC30" s="26"/>
      <c r="AD30" s="26"/>
      <c r="AE30" s="26"/>
    </row>
    <row r="31" spans="1:31" x14ac:dyDescent="0.3">
      <c r="A31" s="26"/>
      <c r="B31" s="34"/>
      <c r="C31" s="34"/>
      <c r="D31" s="35"/>
      <c r="E31" s="36"/>
      <c r="F31" s="35"/>
      <c r="G31" s="34"/>
      <c r="H31" s="35"/>
      <c r="I31" s="35"/>
      <c r="J31" s="35"/>
      <c r="K31" s="35"/>
      <c r="L31" s="35"/>
      <c r="M31" s="35"/>
      <c r="N31" s="35"/>
      <c r="O31" s="35"/>
      <c r="P31" s="35"/>
      <c r="Q31" s="35"/>
      <c r="R31" s="35"/>
      <c r="S31" s="35"/>
      <c r="T31" s="35"/>
      <c r="U31" s="35"/>
      <c r="V31" s="35"/>
      <c r="W31" s="36"/>
      <c r="X31" s="36"/>
      <c r="Y31" s="26"/>
      <c r="Z31" s="26"/>
      <c r="AA31" s="26"/>
      <c r="AB31" s="26"/>
      <c r="AC31" s="26"/>
      <c r="AD31" s="26"/>
      <c r="AE31" s="26"/>
    </row>
    <row r="32" spans="1:31" x14ac:dyDescent="0.3">
      <c r="A32" s="26"/>
      <c r="B32" s="34"/>
      <c r="C32" s="34"/>
      <c r="D32" s="35"/>
      <c r="E32" s="36"/>
      <c r="F32" s="35"/>
      <c r="G32" s="34"/>
      <c r="H32" s="35"/>
      <c r="I32" s="35"/>
      <c r="J32" s="35"/>
      <c r="K32" s="35"/>
      <c r="L32" s="35"/>
      <c r="M32" s="35"/>
      <c r="N32" s="35"/>
      <c r="O32" s="35"/>
      <c r="P32" s="35"/>
      <c r="Q32" s="35"/>
      <c r="R32" s="35"/>
      <c r="S32" s="35"/>
      <c r="T32" s="35"/>
      <c r="U32" s="35"/>
      <c r="V32" s="35"/>
      <c r="W32" s="36"/>
      <c r="X32" s="36"/>
      <c r="Y32" s="26"/>
      <c r="Z32" s="26"/>
      <c r="AA32" s="26"/>
      <c r="AB32" s="26"/>
      <c r="AC32" s="26"/>
      <c r="AD32" s="26"/>
      <c r="AE32" s="26"/>
    </row>
    <row r="33" spans="1:31" x14ac:dyDescent="0.3">
      <c r="A33" s="26"/>
      <c r="B33" s="34"/>
      <c r="C33" s="34"/>
      <c r="D33" s="35"/>
      <c r="E33" s="36"/>
      <c r="F33" s="35"/>
      <c r="G33" s="34"/>
      <c r="H33" s="35"/>
      <c r="I33" s="35"/>
      <c r="J33" s="35"/>
      <c r="K33" s="35"/>
      <c r="L33" s="35"/>
      <c r="M33" s="35"/>
      <c r="N33" s="35"/>
      <c r="O33" s="35"/>
      <c r="P33" s="35"/>
      <c r="Q33" s="35"/>
      <c r="R33" s="35"/>
      <c r="S33" s="35"/>
      <c r="T33" s="35"/>
      <c r="U33" s="35"/>
      <c r="V33" s="35"/>
      <c r="W33" s="36"/>
      <c r="X33" s="36"/>
      <c r="Y33" s="26"/>
      <c r="Z33" s="26"/>
      <c r="AA33" s="26"/>
      <c r="AB33" s="26"/>
      <c r="AC33" s="26"/>
      <c r="AD33" s="26"/>
      <c r="AE33" s="26"/>
    </row>
    <row r="34" spans="1:31" x14ac:dyDescent="0.3">
      <c r="A34" s="26"/>
      <c r="B34" s="34"/>
      <c r="C34" s="34"/>
      <c r="D34" s="35"/>
      <c r="E34" s="36"/>
      <c r="F34" s="35"/>
      <c r="G34" s="34"/>
      <c r="H34" s="35"/>
      <c r="I34" s="35"/>
      <c r="J34" s="35"/>
      <c r="K34" s="35"/>
      <c r="L34" s="35"/>
      <c r="M34" s="35"/>
      <c r="N34" s="35"/>
      <c r="O34" s="35"/>
      <c r="P34" s="35"/>
      <c r="Q34" s="35"/>
      <c r="R34" s="35"/>
      <c r="S34" s="35"/>
      <c r="T34" s="35"/>
      <c r="U34" s="35"/>
      <c r="V34" s="35"/>
      <c r="W34" s="36"/>
      <c r="X34" s="36"/>
      <c r="Y34" s="26"/>
      <c r="Z34" s="26"/>
      <c r="AA34" s="26"/>
      <c r="AB34" s="26"/>
      <c r="AC34" s="26"/>
      <c r="AD34" s="26"/>
      <c r="AE34" s="26"/>
    </row>
    <row r="35" spans="1:31" x14ac:dyDescent="0.3">
      <c r="A35" s="26"/>
      <c r="B35" s="34"/>
      <c r="C35" s="34"/>
      <c r="D35" s="35"/>
      <c r="E35" s="36"/>
      <c r="F35" s="35"/>
      <c r="G35" s="34"/>
      <c r="H35" s="35"/>
      <c r="I35" s="35"/>
      <c r="J35" s="35"/>
      <c r="K35" s="35"/>
      <c r="L35" s="35"/>
      <c r="M35" s="35"/>
      <c r="N35" s="35"/>
      <c r="O35" s="35"/>
      <c r="P35" s="35"/>
      <c r="Q35" s="35"/>
      <c r="R35" s="35"/>
      <c r="S35" s="35"/>
      <c r="T35" s="35"/>
      <c r="U35" s="35"/>
      <c r="V35" s="35"/>
      <c r="W35" s="36"/>
      <c r="X35" s="36"/>
      <c r="Y35" s="26"/>
      <c r="Z35" s="26"/>
      <c r="AA35" s="26"/>
      <c r="AB35" s="26"/>
      <c r="AC35" s="26"/>
      <c r="AD35" s="26"/>
      <c r="AE35" s="26"/>
    </row>
    <row r="36" spans="1:31" x14ac:dyDescent="0.3">
      <c r="A36" s="26"/>
      <c r="B36" s="34"/>
      <c r="C36" s="34"/>
      <c r="D36" s="35"/>
      <c r="E36" s="36"/>
      <c r="F36" s="35"/>
      <c r="G36" s="34"/>
      <c r="H36" s="35"/>
      <c r="I36" s="35"/>
      <c r="J36" s="35"/>
      <c r="K36" s="35"/>
      <c r="L36" s="35"/>
      <c r="M36" s="35"/>
      <c r="N36" s="35"/>
      <c r="O36" s="35"/>
      <c r="P36" s="35"/>
      <c r="Q36" s="35"/>
      <c r="R36" s="35"/>
      <c r="S36" s="35"/>
      <c r="T36" s="35"/>
      <c r="U36" s="35"/>
      <c r="V36" s="35"/>
      <c r="W36" s="36"/>
      <c r="X36" s="36"/>
      <c r="Y36" s="26"/>
      <c r="Z36" s="26"/>
      <c r="AA36" s="26"/>
      <c r="AB36" s="26"/>
      <c r="AC36" s="26"/>
      <c r="AD36" s="26"/>
      <c r="AE36" s="26"/>
    </row>
    <row r="37" spans="1:31" x14ac:dyDescent="0.3">
      <c r="A37" s="26"/>
      <c r="B37" s="34"/>
      <c r="C37" s="34"/>
      <c r="D37" s="35"/>
      <c r="E37" s="36"/>
      <c r="F37" s="35"/>
      <c r="G37" s="34"/>
      <c r="H37" s="35"/>
      <c r="I37" s="35"/>
      <c r="J37" s="35"/>
      <c r="K37" s="35"/>
      <c r="L37" s="35"/>
      <c r="M37" s="35"/>
      <c r="N37" s="35"/>
      <c r="O37" s="35"/>
      <c r="P37" s="35"/>
      <c r="Q37" s="35"/>
      <c r="R37" s="35"/>
      <c r="S37" s="35"/>
      <c r="T37" s="35"/>
      <c r="U37" s="35"/>
      <c r="V37" s="35"/>
      <c r="W37" s="36"/>
      <c r="X37" s="36"/>
      <c r="Y37" s="26"/>
      <c r="Z37" s="26"/>
      <c r="AA37" s="26"/>
      <c r="AB37" s="26"/>
      <c r="AC37" s="26"/>
      <c r="AD37" s="26"/>
      <c r="AE37" s="26"/>
    </row>
    <row r="38" spans="1:31" x14ac:dyDescent="0.3">
      <c r="A38" s="26"/>
      <c r="B38" s="34"/>
      <c r="C38" s="34"/>
      <c r="D38" s="35"/>
      <c r="E38" s="36"/>
      <c r="F38" s="35"/>
      <c r="G38" s="34"/>
      <c r="H38" s="35"/>
      <c r="I38" s="35"/>
      <c r="J38" s="35"/>
      <c r="K38" s="35"/>
      <c r="L38" s="35"/>
      <c r="M38" s="35"/>
      <c r="N38" s="35"/>
      <c r="O38" s="35"/>
      <c r="P38" s="35"/>
      <c r="Q38" s="35"/>
      <c r="R38" s="35"/>
      <c r="S38" s="35"/>
      <c r="T38" s="35"/>
      <c r="U38" s="35"/>
      <c r="V38" s="35"/>
      <c r="W38" s="36"/>
      <c r="X38" s="36"/>
      <c r="Y38" s="26"/>
      <c r="Z38" s="26"/>
      <c r="AA38" s="26"/>
      <c r="AB38" s="26"/>
      <c r="AC38" s="26"/>
      <c r="AD38" s="26"/>
      <c r="AE38" s="26"/>
    </row>
    <row r="39" spans="1:31" x14ac:dyDescent="0.3">
      <c r="A39" s="26"/>
      <c r="B39" s="34"/>
      <c r="C39" s="34"/>
      <c r="D39" s="35"/>
      <c r="E39" s="36"/>
      <c r="F39" s="35"/>
      <c r="G39" s="34"/>
      <c r="H39" s="35"/>
      <c r="I39" s="35"/>
      <c r="J39" s="35"/>
      <c r="K39" s="35"/>
      <c r="L39" s="35"/>
      <c r="M39" s="35"/>
      <c r="N39" s="35"/>
      <c r="O39" s="35"/>
      <c r="P39" s="35"/>
      <c r="Q39" s="35"/>
      <c r="R39" s="35"/>
      <c r="S39" s="35"/>
      <c r="T39" s="35"/>
      <c r="U39" s="35"/>
      <c r="V39" s="35"/>
      <c r="W39" s="36"/>
      <c r="X39" s="36"/>
      <c r="Y39" s="26"/>
      <c r="Z39" s="26"/>
      <c r="AA39" s="26"/>
      <c r="AB39" s="26"/>
      <c r="AC39" s="26"/>
      <c r="AD39" s="26"/>
      <c r="AE39" s="26"/>
    </row>
    <row r="40" spans="1:31" ht="8.4" customHeight="1" thickBot="1" x14ac:dyDescent="0.35">
      <c r="A40" s="26"/>
      <c r="B40" s="34"/>
      <c r="C40" s="37"/>
      <c r="D40" s="38"/>
      <c r="E40" s="39"/>
      <c r="F40" s="35"/>
      <c r="G40" s="37"/>
      <c r="H40" s="38"/>
      <c r="I40" s="38"/>
      <c r="J40" s="38"/>
      <c r="K40" s="38"/>
      <c r="L40" s="38"/>
      <c r="M40" s="38"/>
      <c r="N40" s="38"/>
      <c r="O40" s="38"/>
      <c r="P40" s="38"/>
      <c r="Q40" s="38"/>
      <c r="R40" s="38"/>
      <c r="S40" s="38"/>
      <c r="T40" s="38"/>
      <c r="U40" s="38"/>
      <c r="V40" s="38"/>
      <c r="W40" s="39"/>
      <c r="X40" s="36"/>
      <c r="Y40" s="26"/>
      <c r="Z40" s="26"/>
      <c r="AA40" s="26"/>
      <c r="AB40" s="26"/>
      <c r="AC40" s="26"/>
      <c r="AD40" s="26"/>
      <c r="AE40" s="26"/>
    </row>
    <row r="41" spans="1:31" ht="15" thickBot="1" x14ac:dyDescent="0.35">
      <c r="A41" s="26"/>
      <c r="B41" s="37"/>
      <c r="C41" s="38"/>
      <c r="D41" s="38"/>
      <c r="E41" s="38"/>
      <c r="F41" s="38"/>
      <c r="G41" s="38"/>
      <c r="H41" s="38"/>
      <c r="I41" s="38"/>
      <c r="J41" s="38"/>
      <c r="K41" s="38"/>
      <c r="L41" s="38"/>
      <c r="M41" s="38"/>
      <c r="N41" s="38"/>
      <c r="O41" s="38"/>
      <c r="P41" s="38"/>
      <c r="Q41" s="38"/>
      <c r="R41" s="38"/>
      <c r="S41" s="38"/>
      <c r="T41" s="38"/>
      <c r="U41" s="38"/>
      <c r="V41" s="38"/>
      <c r="W41" s="38"/>
      <c r="X41" s="39"/>
      <c r="Y41" s="26"/>
      <c r="Z41" s="26"/>
      <c r="AA41" s="26"/>
      <c r="AB41" s="26"/>
      <c r="AC41" s="26"/>
      <c r="AD41" s="26"/>
      <c r="AE41" s="26"/>
    </row>
    <row r="42" spans="1:31"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row>
    <row r="43" spans="1:31"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row>
    <row r="44" spans="1:3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row>
    <row r="45" spans="1:31" x14ac:dyDescent="0.3">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row>
    <row r="46" spans="1:31" x14ac:dyDescent="0.3">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row>
    <row r="47" spans="1:31" x14ac:dyDescent="0.3">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row>
    <row r="48" spans="1:31" x14ac:dyDescent="0.3">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row>
    <row r="49" spans="2:29" x14ac:dyDescent="0.3">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row>
    <row r="50" spans="2:29" x14ac:dyDescent="0.3">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row>
    <row r="51" spans="2:29" x14ac:dyDescent="0.3">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row>
    <row r="52" spans="2:29" x14ac:dyDescent="0.3">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row>
    <row r="53" spans="2:29" x14ac:dyDescent="0.3">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row>
    <row r="54" spans="2:29" x14ac:dyDescent="0.3">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row>
    <row r="55" spans="2:29" x14ac:dyDescent="0.3">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row>
    <row r="56" spans="2:29" x14ac:dyDescent="0.3">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row>
    <row r="57" spans="2:29" x14ac:dyDescent="0.3">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row>
    <row r="58" spans="2:29" x14ac:dyDescent="0.3">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row>
    <row r="59" spans="2:29" x14ac:dyDescent="0.3">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row>
    <row r="60" spans="2:29" x14ac:dyDescent="0.3">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spans="2:29" x14ac:dyDescent="0.3">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row>
    <row r="62" spans="2:29" x14ac:dyDescent="0.3">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row>
    <row r="63" spans="2:29" x14ac:dyDescent="0.3">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row>
    <row r="64" spans="2:29" x14ac:dyDescent="0.3">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row>
    <row r="65" spans="2:29" x14ac:dyDescent="0.3">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row>
    <row r="66" spans="2:29" x14ac:dyDescent="0.3">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row>
    <row r="67" spans="2:29" x14ac:dyDescent="0.3">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row>
    <row r="68" spans="2:29" x14ac:dyDescent="0.3">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row>
    <row r="69" spans="2:29" x14ac:dyDescent="0.3">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row>
    <row r="70" spans="2:29" x14ac:dyDescent="0.3">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row>
    <row r="71" spans="2:29" x14ac:dyDescent="0.3">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row>
    <row r="72" spans="2:29" x14ac:dyDescent="0.3">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row>
    <row r="73" spans="2:29" x14ac:dyDescent="0.3">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row>
    <row r="74" spans="2:29" x14ac:dyDescent="0.3">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row>
    <row r="75" spans="2:29" x14ac:dyDescent="0.3">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row>
    <row r="76" spans="2:29" x14ac:dyDescent="0.3">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row>
    <row r="77" spans="2:29" x14ac:dyDescent="0.3">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row>
    <row r="78" spans="2:29" x14ac:dyDescent="0.3">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row>
    <row r="79" spans="2:29" x14ac:dyDescent="0.3">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row>
    <row r="80" spans="2:29" x14ac:dyDescent="0.3">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row>
    <row r="81" spans="2:29" x14ac:dyDescent="0.3">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row>
    <row r="82" spans="2:29" x14ac:dyDescent="0.3">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row>
    <row r="83" spans="2:29" x14ac:dyDescent="0.3">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row>
    <row r="84" spans="2:29" x14ac:dyDescent="0.3">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row>
    <row r="85" spans="2:29" x14ac:dyDescent="0.3">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row>
    <row r="86" spans="2:29" x14ac:dyDescent="0.3">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row>
    <row r="87" spans="2:29" x14ac:dyDescent="0.3">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row>
    <row r="88" spans="2:29" x14ac:dyDescent="0.3">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row>
    <row r="89" spans="2:29" x14ac:dyDescent="0.3">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row>
    <row r="90" spans="2:29" x14ac:dyDescent="0.3">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row>
    <row r="91" spans="2:29" x14ac:dyDescent="0.3">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row>
    <row r="92" spans="2:29" x14ac:dyDescent="0.3">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row>
    <row r="93" spans="2:29" x14ac:dyDescent="0.3">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row>
  </sheetData>
  <mergeCells count="1">
    <mergeCell ref="B2:X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Sheet3</vt:lpstr>
      <vt:lpstr>Sales_Data</vt:lpstr>
      <vt:lpstr>Product_List</vt:lpstr>
      <vt:lpstr>Region_Targets</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GHANSHYAM PRAJAPATI</cp:lastModifiedBy>
  <dcterms:created xsi:type="dcterms:W3CDTF">2025-10-27T14:30:02Z</dcterms:created>
  <dcterms:modified xsi:type="dcterms:W3CDTF">2026-06-12T06:42:37Z</dcterms:modified>
</cp:coreProperties>
</file>